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val_grupobusiness_it/Documents/Staff Augmentation/Clientes/BANINTER/Facturación/Setiembre/Reportes/"/>
    </mc:Choice>
  </mc:AlternateContent>
  <xr:revisionPtr revIDLastSave="3" documentId="13_ncr:1_{AD0B0E8A-A92B-4509-867C-4889364D4314}" xr6:coauthVersionLast="47" xr6:coauthVersionMax="47" xr10:uidLastSave="{1440C14C-D386-4C73-9C01-E3D2F39374AF}"/>
  <bookViews>
    <workbookView xWindow="-108" yWindow="-108" windowWidth="23256" windowHeight="12456" firstSheet="1" activeTab="1" xr2:uid="{00000000-000D-0000-FFFF-FFFF00000000}"/>
  </bookViews>
  <sheets>
    <sheet name="Hoja1" sheetId="6" state="hidden" r:id="rId1"/>
    <sheet name="Anderson Lucero - SET2025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4" l="1"/>
  <c r="A29" i="4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l="1"/>
  <c r="A21" i="4" s="1"/>
  <c r="A22" i="4" s="1"/>
  <c r="A23" i="4" s="1"/>
  <c r="A24" i="4" s="1"/>
  <c r="A25" i="4" s="1"/>
  <c r="A26" i="4" s="1"/>
  <c r="A27" i="4" s="1"/>
  <c r="A28" i="4" s="1"/>
  <c r="D76" i="6"/>
</calcChain>
</file>

<file path=xl/sharedStrings.xml><?xml version="1.0" encoding="utf-8"?>
<sst xmlns="http://schemas.openxmlformats.org/spreadsheetml/2006/main" count="316" uniqueCount="96">
  <si>
    <t>Fecha
dd/mm/yyyy</t>
  </si>
  <si>
    <t>Nombre Recurso</t>
  </si>
  <si>
    <t>Actividad</t>
  </si>
  <si>
    <t>Horas</t>
  </si>
  <si>
    <t>Fase/Ciclo Desarrollo/Tipo Actividad</t>
  </si>
  <si>
    <t>Dante Castro</t>
  </si>
  <si>
    <t>reunion 1031_19 Segmentación Definitiva Fase II (Avances)</t>
  </si>
  <si>
    <t>SA-Planificación-Gestión de proyectos</t>
  </si>
  <si>
    <t xml:space="preserve">Modificaciones :
.- Paramterización para cuotas Variables a termino PVXX /
.- Parametrización para productos cuotas variables y termino 
     PVXX      </t>
  </si>
  <si>
    <t>SA-Desarrollo-Pruebas Unitarias</t>
  </si>
  <si>
    <t>Migracion de se seguros op. Termino y Cuotas variables
 Crear un script actualice el DLPMC al campo DLCPRS
  en base a los archivo DEALS/DLPMC
 Crear un script actualice el PLPSG al campo PLSCPR y PLSPRS
  en base a los archivo DEALS/PLPSG
 Crear un script actualice el DLPMC al campo DLCPRS
  en base a los archivo PLPCR/DLPMC</t>
  </si>
  <si>
    <t>KT-Arquitectura Funcional</t>
  </si>
  <si>
    <t>Modificar los programas que trabajan con DLP0941 (proceso general de seguros   propuesta)
que son : 
BT0150  ( pasado de la BIN + CAMBIOS DE CJ venC)
DP0100 (Mantenimiento  Propuestas de Crédito)
DP0105(Mantenimiento Propuestas de Cartas de Crédito)
DP0360 (Mantenimiento de propuestas Infor Adicional)
DP0922 (Schedule of Payments Generator)</t>
  </si>
  <si>
    <t xml:space="preserve">Pruebas del Programas DP0105 :
Corregir :
1.- Debe grabar los datos Vehiculos Livianos y % Porcentaje 
       Financiacion al momento de pasar a otra pantalla
</t>
  </si>
  <si>
    <t>Modificar los programas que trabajan con DLP0941 (proceso general de seguros   propuesta)
que son : 
DP0926  ( pasado de la BIN + CAMBIOS DE CJ venC)
DL0301  ( Deals Transactions History  seguros)</t>
  </si>
  <si>
    <t>SA-Desarrollo-Programación</t>
  </si>
  <si>
    <t>Reunion Seguimiento req. 1031-19
Opcion Menu - 30 -5 
 Prueba del programa DP0105 (Propuesta de Carta de Credito)
     Los ingresos de los campos Vehiculo Livianos y % de Financiacón</t>
  </si>
  <si>
    <t xml:space="preserve">Modificación del programa DP0105 (Propuesta de Carta de Credito)
Validacion en el campo Vehiculos Livianos  y realizar pruebas
</t>
  </si>
  <si>
    <t xml:space="preserve">Reunion Seguimiento req. 1031-19
Opcion Menu - 30 -87-14
 Prueba del programa TRA108 (Mantenimiento de Operaciones)
Opcion Menu - 30 -87-5
 Prueba del programa DP0360 (Mantenimiento de Propuestas)
</t>
  </si>
  <si>
    <t xml:space="preserve">Modificación del programa TRA108 (Mantenimiento de Operaciones)
Se cambia posicion de campos en la pantalla TRA108FM se cambia
el orden de :
Destino Economico............: VI   Viajes                                 
Destino Financiero.........: OT   NO PRODUCTIVAS. OI CP CE EXVIP         
se revisa el programa DP0150 (Consulta Propuesta de Credito)
por no muestra el Destino Economico (Revsion)
</t>
  </si>
  <si>
    <t>Avance la documentaciíon - MPY_Instal y Operaciones_v1.0_Cambios_Modulos_ClientesV3
    .- Asignar los programas de compilación
    .-  Bakup de archivos
    .- Asignat los Script
    .-  Backup de Programas</t>
  </si>
  <si>
    <t>SA-Desarrollo-Analisis</t>
  </si>
  <si>
    <t>Modificación del programa TRA108 (Mantenimiento de Operaciones)
Se cambia que se asigne la segmentacion correcta en los de campos :
Destino Economico............: 
Destino Financiero............:
Pruebas con el programa</t>
  </si>
  <si>
    <t>SA-Inspección de Código</t>
  </si>
  <si>
    <t>Analisis del programa DP0150 (Mantenimiento Propuesta de Credito)
con respecto a la Segmentación y destino Financiero</t>
  </si>
  <si>
    <t>Reunión Interna Equipo de Trabajo</t>
  </si>
  <si>
    <t>SA-Pruebas UAT-Certificación</t>
  </si>
  <si>
    <t>Analisis Programa DP0100 con respecto al  programa DL0941 (proceso general de seguros   propuestas) para realizar pruebas</t>
  </si>
  <si>
    <t xml:space="preserve">Modificación del programa TRA108 (Mantenimiento de Operaciones)
Solamente considerar los tipo de cuentas : 
.- LCR  - Cartera Credito
.- LNS - Prestamos
Los productos que comiencen  :
Cartera de Credito --&gt; "CCI"
Prestamos --&gt;  "A" y "G"
debe mostrar en la pantalla Financia o no Vehiculos Livianos y % Financiacion </t>
  </si>
  <si>
    <t>Validacion Tipo de Cliente
Validacion Tipo de Garantia
Programas :
DP0100 ( Mantenimiento  Propuestas de Crédito (TIR) )</t>
  </si>
  <si>
    <t>Pruebas  de los Script :
Parametrización por tipo de Garantia
Parametrizacion para Cuotas Variables y Termino 
PVXX(Revision de Producto)
Parametrización Tasas Estado Civil</t>
  </si>
  <si>
    <t>Analizar el programa DP0381 - Mantenimiento de garantías en propuestas (parámetros)
Solicita revizar la pantalla el campo :
Cliente contratara seguro con Lib.SEG. :  PN porque no se actualiza PLGRT ( Garantias asociadas a la Propuestas )</t>
  </si>
  <si>
    <t>Actualiza los Script, nuevos codigos se le asignan
1031_3_19_5_Tasas y Estado Civil
1031_3_19_6_Migracion Dlpmc_Plpsg_PVXX</t>
  </si>
  <si>
    <t>Modificar y Analizar
Programas :
DP0100 ( Mantenimiento  Propuestas de Crédito (TIR) )
en algunas consultas de propuesta no muestra :
Destino Economico y Destino Financiero</t>
  </si>
  <si>
    <t>Realizar un script --&gt; Producto- Seguros-GARANTIAS 
NCODIG/PRER/producto/SEGU/SEGV/TIGA</t>
  </si>
  <si>
    <t>Actualizar los script :
1031_3_19_5_Tasas Estado Civil
1031_3_19_6_MigracionDlpmc_Plpsg_PVXX</t>
  </si>
  <si>
    <t>Revisión Segmentación fase II</t>
  </si>
  <si>
    <t>Revisión de Ejecucion de Script en la tabla Ncodig</t>
  </si>
  <si>
    <t>Revisión Avances del Proyectos Segmentación fase II</t>
  </si>
  <si>
    <t>Preparar informacion antes la reunion con el Sr. James:
mas detallado de los Avances y Pendiendente por realizar</t>
  </si>
  <si>
    <t>Revisión Estatus Desarrollos - Equipo Activas</t>
  </si>
  <si>
    <t>Actualizar los cambios realizados por el Sr. Edwin Pupiales a los programas DP0100 y DP0150</t>
  </si>
  <si>
    <t>Menu Opcion 30-5 Programa DP0105 se ingresa una propuesta de
credito se le asigna la N# de Carta a la Propuesta desaparece la 
propuesta  (Analizar)</t>
  </si>
  <si>
    <t>Menu Opcion 30-5 Programa DP0105 se ingresa una propuesta de
no valida destino financiero / destino economico al momento de salir propuesta no graba - (Modificación)</t>
  </si>
  <si>
    <t>Analizar los programas que utilizan el programa  DL0941 (Genera Seguro) que son: 
BT0150 - Cambio
DL0301 -  No cambio
DP0100 - Cambio
DP0105 - No cambio
DP0360 - Cambio
DP0922 - No cambio
DP0926 - 
VERSEG - No cambio</t>
  </si>
  <si>
    <t>Se analiza Validacion que debe tener antes de generar el DL0941
.- Tipo de Persona solamente Natural
.- Producto tiene parametro SEGV/SEGU y es AUTOMATICO
.- Asegurabilidad (Edad  y Monto)
.- Garantia</t>
  </si>
  <si>
    <t>Analizar los programas que utilizan el programa  DL0941 (Genera Seguro) que son: 
BT0150 (pasado de la BIN + CAMBIOS DE CJ venc=Fecha ult.cu)
DL0941 (proceso general de seguros   propues)
DP0100 (Mantenimiento  Propuestas de Crédito )
DP0926 (Reliquidacion y Restructuracion Int.)
DP0923 (GENERACION DE plan de pagos adicional)</t>
  </si>
  <si>
    <t>Modificar los programas que utilizan el programa  DL0941 (Genera Seguro) que son: 
BT0150 - Cambio
DP0923 - cambio
Añdir las Validaciones antes de generar el DL0941 (Genera Seguro)</t>
  </si>
  <si>
    <t>Pruebas los programas que utilizan el programa  DL0941 (Genera Seguro) que son: 
BT0150 - Cambio
DP0923 - cambio
DP0114 - Cambio</t>
  </si>
  <si>
    <t xml:space="preserve">Modificación los programas :
DP0114 - Mantenimiento Confirmación de seguro de vida 
DL0941 - proceso general de seguros   propuesta  </t>
  </si>
  <si>
    <t xml:space="preserve">Pruebas generación de Propuestas  :
Productos cuotras fijas en base al calculo
Productos de Cuotas Variables / Termino en base al calculo
Asegurabilidad
Validación de Edad / Monto
</t>
  </si>
  <si>
    <t>Cambios en los programas
DP0114 - Mantenimiento Confirmación de seguro de Vida
DL0941 - proceso general de seguros   propuesta</t>
  </si>
  <si>
    <t>Se corre el cierre diario hay que esperar que termine
( Generado el cierre el Sr. Edwin Pupiales)</t>
  </si>
  <si>
    <t>Modificacion a los programas:
DP0114 - Control cuando se cuotas variables ó Termino se generar una 
                   cuota tanto en la cabecera y detalle
DP0923 -  Se añade la parametrización 30 dias que busca para calculo de
                    cuotas --&gt;  PRER/PRODUCTO/SEGU/SEGV/</t>
  </si>
  <si>
    <t xml:space="preserve">Pruebas generacion de Propuestaa:
MENU 30-19  --&gt; Imp.Solicitud,Liquid(AP,AD,AC) - DP0126
MENU 30-18  --&gt; Impresión Pagaré (AP,AD,AC) - DP0064
Emite un Error : Fecha 1er pago hace que la tasa efectiva exceda la tasa maxima
              </t>
  </si>
  <si>
    <t>Analizar el programa:
DP0100 - Porque no se graba en el PLPCR los campos PLPTCO y PLPTCM
                   Tipo de Comision Original y Tipo de Comision Modificado</t>
  </si>
  <si>
    <t>Modificar los programas :
TRA108 - Mantenimiento Códigos de OperacIón Sub-segmentos
DP0360 - Mantenimiento de propuestas 
El objtivo del cambio que tenga la misma segmentacion de las propuestas</t>
  </si>
  <si>
    <t>Pruebas los programas :
TRA108 - Mantenimiento Códigos de OperacIón Sub-segmentos
DP0360 - Mantenimiento de propuestas 
El objtivo del cambio que tenga la misma segmentacion de las propuestas</t>
  </si>
  <si>
    <t>Modificar los programas :
DP0923 - GENERACION DE plan de pagos adicionales
DP0045 - Mantenimiento de plan adicional 
El objtivo cuando se genere cuotas a variable el total de la cuota se 
acumular en el campo PLSVCA (Valor Calculo) y DLVCAL (Valor del Plan)</t>
  </si>
  <si>
    <t xml:space="preserve">Pruebas  generar Propuesta a TERMINO y VARIABLES: 
MENU 30-19  --&gt; Imp.Solicitud,Liquid(AP,AD,AC) - DP0126
MENU 30-18  --&gt; Impresión Pagaré (AP,AD,AC) - DP0064
</t>
  </si>
  <si>
    <t xml:space="preserve">          INFORME ACTIVIDADES OUTSOURCING BUSINESS IT</t>
  </si>
  <si>
    <t xml:space="preserve">Cliente: </t>
  </si>
  <si>
    <t>Banco Internacional</t>
  </si>
  <si>
    <t>Fecha del Informe:</t>
  </si>
  <si>
    <t>Tema del Informe:</t>
  </si>
  <si>
    <t>Informe de Actividades</t>
  </si>
  <si>
    <t>Periodo Informe:</t>
  </si>
  <si>
    <t>Consultor:</t>
  </si>
  <si>
    <t>Fecha</t>
  </si>
  <si>
    <t>Proyecto</t>
  </si>
  <si>
    <t>Tareas</t>
  </si>
  <si>
    <t>Fase/Ciclo Desarrollo/ Tipo Actividad</t>
  </si>
  <si>
    <t>Desarrollo-Programación</t>
  </si>
  <si>
    <t>Arquitectura Funcional</t>
  </si>
  <si>
    <t>Diseño Técnico</t>
  </si>
  <si>
    <t>Desarrollo-Pruebas Unitarias</t>
  </si>
  <si>
    <t>Inspección de Código</t>
  </si>
  <si>
    <t>Planificación-Gestión de proyectos</t>
  </si>
  <si>
    <t>Pruebas UAT-Certificación</t>
  </si>
  <si>
    <t>Total</t>
  </si>
  <si>
    <t>VERSIONAMIENTO</t>
  </si>
  <si>
    <t>Anderson Patricio Lucero Fuel</t>
  </si>
  <si>
    <t>versionamiento api-jva-core-digitalcard-ear</t>
  </si>
  <si>
    <t>01/09/2025 – 30/09/2025</t>
  </si>
  <si>
    <t>versionamiento consultationIbsEjbRestful-ear</t>
  </si>
  <si>
    <t>versionamiento generateDocumentsRestful-ear</t>
  </si>
  <si>
    <t>versionamiento TransactionRIB</t>
  </si>
  <si>
    <t>versionamiento ETL</t>
  </si>
  <si>
    <t>versionamiento task-seguros-gibs-ear</t>
  </si>
  <si>
    <t>versionamiento Script</t>
  </si>
  <si>
    <t>versionamiento ws-jva-tarjetacredito-ear.ear</t>
  </si>
  <si>
    <t>versionamiento scripts en ambiente HDS portales</t>
  </si>
  <si>
    <t>versionamiento Stratio Workflows</t>
  </si>
  <si>
    <t>versionamiento scripts en ambiente Integración portales</t>
  </si>
  <si>
    <t>versionamiento bke-jva-accounting-massivelots-ear</t>
  </si>
  <si>
    <t>versionamiento Instalación parche Yage portal accionasitas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</si>
</sst>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8"/>
      <color indexed="59"/>
      <name val="Arial"/>
      <family val="2"/>
    </font>
    <font>
      <sz val="8"/>
      <name val="Arial"/>
      <family val="2"/>
    </font>
    <font>
      <i/>
      <sz val="10"/>
      <color indexed="59"/>
      <name val="Candara"/>
      <family val="2"/>
    </font>
    <font>
      <i/>
      <sz val="10"/>
      <name val="Candara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0"/>
      <name val="Candara"/>
      <family val="2"/>
    </font>
    <font>
      <b/>
      <i/>
      <sz val="12"/>
      <color theme="0"/>
      <name val="Candar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4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right" vertical="center" wrapText="1"/>
    </xf>
    <xf numFmtId="14" fontId="3" fillId="3" borderId="4" xfId="0" applyNumberFormat="1" applyFont="1" applyFill="1" applyBorder="1" applyAlignment="1">
      <alignment horizontal="right" vertical="top"/>
    </xf>
    <xf numFmtId="14" fontId="3" fillId="3" borderId="4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5" fillId="3" borderId="4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vertical="center" wrapText="1"/>
    </xf>
    <xf numFmtId="0" fontId="13" fillId="0" borderId="0" xfId="0" applyFont="1"/>
    <xf numFmtId="14" fontId="11" fillId="2" borderId="7" xfId="0" applyNumberFormat="1" applyFont="1" applyFill="1" applyBorder="1" applyAlignment="1">
      <alignment horizontal="center" vertical="center"/>
    </xf>
    <xf numFmtId="1" fontId="12" fillId="2" borderId="7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76"/>
  <sheetViews>
    <sheetView topLeftCell="A58" workbookViewId="0">
      <selection activeCell="E4" sqref="E4"/>
    </sheetView>
  </sheetViews>
  <sheetFormatPr baseColWidth="10" defaultColWidth="10.88671875" defaultRowHeight="14.4" x14ac:dyDescent="0.3"/>
  <cols>
    <col min="1" max="1" width="13.6640625" style="17" customWidth="1"/>
    <col min="2" max="2" width="19.6640625" customWidth="1"/>
    <col min="3" max="3" width="84.6640625" customWidth="1"/>
    <col min="4" max="4" width="12.6640625" customWidth="1"/>
    <col min="5" max="5" width="35.6640625" customWidth="1"/>
  </cols>
  <sheetData>
    <row r="1" spans="1:5" ht="29.4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1" t="s">
        <v>4</v>
      </c>
    </row>
    <row r="2" spans="1:5" x14ac:dyDescent="0.3">
      <c r="A2" s="14">
        <v>42467</v>
      </c>
      <c r="B2" s="8" t="s">
        <v>5</v>
      </c>
      <c r="C2" s="9" t="s">
        <v>6</v>
      </c>
      <c r="D2" s="10">
        <v>0.5</v>
      </c>
      <c r="E2" s="12" t="s">
        <v>7</v>
      </c>
    </row>
    <row r="3" spans="1:5" ht="40.799999999999997" x14ac:dyDescent="0.3">
      <c r="A3" s="14">
        <v>42467</v>
      </c>
      <c r="B3" s="8" t="s">
        <v>5</v>
      </c>
      <c r="C3" s="9" t="s">
        <v>8</v>
      </c>
      <c r="D3" s="10">
        <v>4.5</v>
      </c>
      <c r="E3" s="12" t="s">
        <v>9</v>
      </c>
    </row>
    <row r="4" spans="1:5" ht="71.400000000000006" x14ac:dyDescent="0.3">
      <c r="A4" s="14">
        <v>42467</v>
      </c>
      <c r="B4" s="8" t="s">
        <v>5</v>
      </c>
      <c r="C4" s="9" t="s">
        <v>10</v>
      </c>
      <c r="D4" s="10">
        <v>3</v>
      </c>
      <c r="E4" s="12" t="s">
        <v>9</v>
      </c>
    </row>
    <row r="5" spans="1:5" x14ac:dyDescent="0.3">
      <c r="A5" s="15">
        <v>42468</v>
      </c>
      <c r="B5" s="8" t="s">
        <v>5</v>
      </c>
      <c r="C5" s="3" t="s">
        <v>6</v>
      </c>
      <c r="D5" s="10">
        <v>0.5</v>
      </c>
      <c r="E5" s="12" t="s">
        <v>11</v>
      </c>
    </row>
    <row r="6" spans="1:5" ht="71.400000000000006" x14ac:dyDescent="0.3">
      <c r="A6" s="15">
        <v>42468</v>
      </c>
      <c r="B6" s="8" t="s">
        <v>5</v>
      </c>
      <c r="C6" s="4" t="s">
        <v>12</v>
      </c>
      <c r="D6" s="10">
        <v>7.5</v>
      </c>
      <c r="E6" s="13" t="s">
        <v>7</v>
      </c>
    </row>
    <row r="7" spans="1:5" x14ac:dyDescent="0.3">
      <c r="A7" s="15">
        <v>42471</v>
      </c>
      <c r="B7" s="8" t="s">
        <v>5</v>
      </c>
      <c r="C7" s="4" t="s">
        <v>6</v>
      </c>
      <c r="D7" s="10">
        <v>0.5</v>
      </c>
      <c r="E7" s="13" t="s">
        <v>11</v>
      </c>
    </row>
    <row r="8" spans="1:5" ht="51" x14ac:dyDescent="0.3">
      <c r="A8" s="15">
        <v>42471</v>
      </c>
      <c r="B8" s="8" t="s">
        <v>5</v>
      </c>
      <c r="C8" s="4" t="s">
        <v>13</v>
      </c>
      <c r="D8" s="10">
        <v>4</v>
      </c>
      <c r="E8" s="13" t="s">
        <v>11</v>
      </c>
    </row>
    <row r="9" spans="1:5" ht="40.799999999999997" x14ac:dyDescent="0.3">
      <c r="A9" s="15">
        <v>42471</v>
      </c>
      <c r="B9" s="8" t="s">
        <v>5</v>
      </c>
      <c r="C9" s="4" t="s">
        <v>14</v>
      </c>
      <c r="D9" s="10">
        <v>3.5</v>
      </c>
      <c r="E9" s="13" t="s">
        <v>11</v>
      </c>
    </row>
    <row r="10" spans="1:5" x14ac:dyDescent="0.3">
      <c r="A10" s="15">
        <v>42472</v>
      </c>
      <c r="B10" s="8" t="s">
        <v>5</v>
      </c>
      <c r="C10" s="4" t="s">
        <v>6</v>
      </c>
      <c r="D10" s="10">
        <v>0.5</v>
      </c>
      <c r="E10" s="13" t="s">
        <v>15</v>
      </c>
    </row>
    <row r="11" spans="1:5" ht="40.799999999999997" x14ac:dyDescent="0.3">
      <c r="A11" s="15">
        <v>42472</v>
      </c>
      <c r="B11" s="8" t="s">
        <v>5</v>
      </c>
      <c r="C11" s="4" t="s">
        <v>16</v>
      </c>
      <c r="D11" s="10">
        <v>1</v>
      </c>
      <c r="E11" s="13" t="s">
        <v>11</v>
      </c>
    </row>
    <row r="12" spans="1:5" ht="30.6" x14ac:dyDescent="0.3">
      <c r="A12" s="15">
        <v>42472</v>
      </c>
      <c r="B12" s="8" t="s">
        <v>5</v>
      </c>
      <c r="C12" s="4" t="s">
        <v>17</v>
      </c>
      <c r="D12" s="10">
        <v>2</v>
      </c>
      <c r="E12" s="13" t="s">
        <v>15</v>
      </c>
    </row>
    <row r="13" spans="1:5" ht="61.2" x14ac:dyDescent="0.3">
      <c r="A13" s="15">
        <v>42472</v>
      </c>
      <c r="B13" s="8" t="s">
        <v>5</v>
      </c>
      <c r="C13" s="4" t="s">
        <v>18</v>
      </c>
      <c r="D13" s="10">
        <v>1</v>
      </c>
      <c r="E13" s="13" t="s">
        <v>15</v>
      </c>
    </row>
    <row r="14" spans="1:5" ht="81.599999999999994" x14ac:dyDescent="0.3">
      <c r="A14" s="15">
        <v>42472</v>
      </c>
      <c r="B14" s="8" t="s">
        <v>5</v>
      </c>
      <c r="C14" s="4" t="s">
        <v>19</v>
      </c>
      <c r="D14" s="10">
        <v>2.5</v>
      </c>
      <c r="E14" s="13" t="s">
        <v>15</v>
      </c>
    </row>
    <row r="15" spans="1:5" ht="51" x14ac:dyDescent="0.3">
      <c r="A15" s="15">
        <v>42472</v>
      </c>
      <c r="B15" s="8" t="s">
        <v>5</v>
      </c>
      <c r="C15" s="4" t="s">
        <v>20</v>
      </c>
      <c r="D15" s="10">
        <v>1</v>
      </c>
      <c r="E15" s="13" t="s">
        <v>21</v>
      </c>
    </row>
    <row r="16" spans="1:5" ht="51" x14ac:dyDescent="0.3">
      <c r="A16" s="15">
        <v>42473</v>
      </c>
      <c r="B16" s="8" t="s">
        <v>5</v>
      </c>
      <c r="C16" s="4" t="s">
        <v>22</v>
      </c>
      <c r="D16" s="10">
        <v>6</v>
      </c>
      <c r="E16" s="13" t="s">
        <v>23</v>
      </c>
    </row>
    <row r="17" spans="1:5" ht="20.399999999999999" x14ac:dyDescent="0.3">
      <c r="A17" s="15">
        <v>42473</v>
      </c>
      <c r="B17" s="8" t="s">
        <v>5</v>
      </c>
      <c r="C17" s="4" t="s">
        <v>24</v>
      </c>
      <c r="D17" s="10">
        <v>2</v>
      </c>
      <c r="E17" s="13" t="s">
        <v>21</v>
      </c>
    </row>
    <row r="18" spans="1:5" x14ac:dyDescent="0.3">
      <c r="A18" s="15">
        <v>42474</v>
      </c>
      <c r="B18" s="8" t="s">
        <v>5</v>
      </c>
      <c r="C18" s="4" t="s">
        <v>25</v>
      </c>
      <c r="D18" s="10">
        <v>1</v>
      </c>
      <c r="E18" s="13" t="s">
        <v>26</v>
      </c>
    </row>
    <row r="19" spans="1:5" x14ac:dyDescent="0.3">
      <c r="A19" s="15">
        <v>42474</v>
      </c>
      <c r="B19" s="8" t="s">
        <v>5</v>
      </c>
      <c r="C19" s="4" t="s">
        <v>27</v>
      </c>
      <c r="D19" s="10">
        <v>2</v>
      </c>
      <c r="E19" s="13" t="s">
        <v>7</v>
      </c>
    </row>
    <row r="20" spans="1:5" ht="81.599999999999994" x14ac:dyDescent="0.3">
      <c r="A20" s="16">
        <v>42474</v>
      </c>
      <c r="B20" s="8" t="s">
        <v>5</v>
      </c>
      <c r="C20" s="4" t="s">
        <v>28</v>
      </c>
      <c r="D20" s="10">
        <v>5</v>
      </c>
      <c r="E20" s="13" t="s">
        <v>21</v>
      </c>
    </row>
    <row r="21" spans="1:5" x14ac:dyDescent="0.3">
      <c r="A21" s="16">
        <v>42475</v>
      </c>
      <c r="B21" s="8" t="s">
        <v>5</v>
      </c>
      <c r="C21" s="4" t="s">
        <v>6</v>
      </c>
      <c r="D21" s="10">
        <v>0.5</v>
      </c>
      <c r="E21" s="13" t="s">
        <v>21</v>
      </c>
    </row>
    <row r="22" spans="1:5" ht="81.599999999999994" x14ac:dyDescent="0.3">
      <c r="A22" s="16">
        <v>42475</v>
      </c>
      <c r="B22" s="8" t="s">
        <v>5</v>
      </c>
      <c r="C22" s="4" t="s">
        <v>28</v>
      </c>
      <c r="D22" s="10">
        <v>2</v>
      </c>
      <c r="E22" s="13" t="s">
        <v>9</v>
      </c>
    </row>
    <row r="23" spans="1:5" ht="40.799999999999997" x14ac:dyDescent="0.3">
      <c r="A23" s="16">
        <v>42475</v>
      </c>
      <c r="B23" s="8" t="s">
        <v>5</v>
      </c>
      <c r="C23" s="4" t="s">
        <v>29</v>
      </c>
      <c r="D23" s="10">
        <v>5.5</v>
      </c>
      <c r="E23" s="13" t="s">
        <v>9</v>
      </c>
    </row>
    <row r="24" spans="1:5" x14ac:dyDescent="0.3">
      <c r="A24" s="16">
        <v>42478</v>
      </c>
      <c r="B24" s="8" t="s">
        <v>5</v>
      </c>
      <c r="C24" s="4" t="s">
        <v>6</v>
      </c>
      <c r="D24" s="10">
        <v>0.5</v>
      </c>
      <c r="E24" s="13" t="s">
        <v>21</v>
      </c>
    </row>
    <row r="25" spans="1:5" ht="40.799999999999997" x14ac:dyDescent="0.3">
      <c r="A25" s="16">
        <v>42478</v>
      </c>
      <c r="B25" s="8" t="s">
        <v>5</v>
      </c>
      <c r="C25" s="4" t="s">
        <v>29</v>
      </c>
      <c r="D25" s="10">
        <v>1.5</v>
      </c>
      <c r="E25" s="13" t="s">
        <v>9</v>
      </c>
    </row>
    <row r="26" spans="1:5" ht="51" x14ac:dyDescent="0.3">
      <c r="A26" s="16">
        <v>42478</v>
      </c>
      <c r="B26" s="8" t="s">
        <v>5</v>
      </c>
      <c r="C26" s="4" t="s">
        <v>30</v>
      </c>
      <c r="D26" s="10">
        <v>2</v>
      </c>
      <c r="E26" s="13" t="s">
        <v>9</v>
      </c>
    </row>
    <row r="27" spans="1:5" ht="30.6" x14ac:dyDescent="0.3">
      <c r="A27" s="16">
        <v>42478</v>
      </c>
      <c r="B27" s="8" t="s">
        <v>5</v>
      </c>
      <c r="C27" s="4" t="s">
        <v>31</v>
      </c>
      <c r="D27" s="10">
        <v>4</v>
      </c>
      <c r="E27" s="13" t="s">
        <v>23</v>
      </c>
    </row>
    <row r="28" spans="1:5" x14ac:dyDescent="0.3">
      <c r="A28" s="16">
        <v>42479</v>
      </c>
      <c r="B28" s="8" t="s">
        <v>5</v>
      </c>
      <c r="C28" s="4" t="s">
        <v>6</v>
      </c>
      <c r="D28" s="10">
        <v>0.5</v>
      </c>
      <c r="E28" s="13" t="s">
        <v>21</v>
      </c>
    </row>
    <row r="29" spans="1:5" ht="30.6" x14ac:dyDescent="0.3">
      <c r="A29" s="16">
        <v>42479</v>
      </c>
      <c r="B29" s="8" t="s">
        <v>5</v>
      </c>
      <c r="C29" s="4" t="s">
        <v>32</v>
      </c>
      <c r="D29" s="10">
        <v>1.5</v>
      </c>
      <c r="E29" s="13" t="s">
        <v>21</v>
      </c>
    </row>
    <row r="30" spans="1:5" ht="51" x14ac:dyDescent="0.3">
      <c r="A30" s="16">
        <v>42479</v>
      </c>
      <c r="B30" s="8" t="s">
        <v>5</v>
      </c>
      <c r="C30" s="4" t="s">
        <v>33</v>
      </c>
      <c r="D30" s="10">
        <v>6</v>
      </c>
      <c r="E30" s="13" t="s">
        <v>21</v>
      </c>
    </row>
    <row r="31" spans="1:5" x14ac:dyDescent="0.3">
      <c r="A31" s="16">
        <v>42479</v>
      </c>
      <c r="B31" s="8" t="s">
        <v>5</v>
      </c>
      <c r="C31" s="4" t="s">
        <v>6</v>
      </c>
      <c r="D31" s="10">
        <v>0.5</v>
      </c>
      <c r="E31" s="13" t="s">
        <v>21</v>
      </c>
    </row>
    <row r="32" spans="1:5" ht="20.399999999999999" x14ac:dyDescent="0.3">
      <c r="A32" s="16">
        <v>42479</v>
      </c>
      <c r="B32" s="8" t="s">
        <v>5</v>
      </c>
      <c r="C32" s="4" t="s">
        <v>34</v>
      </c>
      <c r="D32" s="10">
        <v>1</v>
      </c>
      <c r="E32" s="13" t="s">
        <v>21</v>
      </c>
    </row>
    <row r="33" spans="1:5" ht="30.6" x14ac:dyDescent="0.3">
      <c r="A33" s="16">
        <v>42479</v>
      </c>
      <c r="B33" s="8" t="s">
        <v>5</v>
      </c>
      <c r="C33" s="4" t="s">
        <v>35</v>
      </c>
      <c r="D33" s="10">
        <v>1</v>
      </c>
      <c r="E33" s="13" t="s">
        <v>21</v>
      </c>
    </row>
    <row r="34" spans="1:5" x14ac:dyDescent="0.3">
      <c r="A34" s="16">
        <v>42479</v>
      </c>
      <c r="B34" s="8" t="s">
        <v>5</v>
      </c>
      <c r="C34" s="4" t="s">
        <v>36</v>
      </c>
      <c r="D34" s="10">
        <v>0.5</v>
      </c>
      <c r="E34" s="13" t="s">
        <v>21</v>
      </c>
    </row>
    <row r="35" spans="1:5" x14ac:dyDescent="0.3">
      <c r="A35" s="16">
        <v>42479</v>
      </c>
      <c r="B35" s="8" t="s">
        <v>5</v>
      </c>
      <c r="C35" s="4" t="s">
        <v>37</v>
      </c>
      <c r="D35" s="10">
        <v>0.5</v>
      </c>
      <c r="E35" s="13" t="s">
        <v>21</v>
      </c>
    </row>
    <row r="36" spans="1:5" x14ac:dyDescent="0.3">
      <c r="A36" s="16">
        <v>42479</v>
      </c>
      <c r="B36" s="8" t="s">
        <v>5</v>
      </c>
      <c r="C36" s="4" t="s">
        <v>38</v>
      </c>
      <c r="D36" s="10">
        <v>0.5</v>
      </c>
      <c r="E36" s="13" t="s">
        <v>21</v>
      </c>
    </row>
    <row r="37" spans="1:5" ht="20.399999999999999" x14ac:dyDescent="0.3">
      <c r="A37" s="16">
        <v>42479</v>
      </c>
      <c r="B37" s="8" t="s">
        <v>5</v>
      </c>
      <c r="C37" s="4" t="s">
        <v>39</v>
      </c>
      <c r="D37" s="10">
        <v>2.5</v>
      </c>
      <c r="E37" s="13" t="s">
        <v>21</v>
      </c>
    </row>
    <row r="38" spans="1:5" x14ac:dyDescent="0.3">
      <c r="A38" s="16">
        <v>42479</v>
      </c>
      <c r="B38" s="8" t="s">
        <v>5</v>
      </c>
      <c r="C38" s="4" t="s">
        <v>40</v>
      </c>
      <c r="D38" s="10">
        <v>1.1499999999999999</v>
      </c>
      <c r="E38" s="13" t="s">
        <v>23</v>
      </c>
    </row>
    <row r="39" spans="1:5" x14ac:dyDescent="0.3">
      <c r="A39" s="16">
        <v>42479</v>
      </c>
      <c r="B39" s="8" t="s">
        <v>5</v>
      </c>
      <c r="C39" s="4" t="s">
        <v>41</v>
      </c>
      <c r="D39" s="10">
        <v>0.35</v>
      </c>
      <c r="E39" s="13" t="s">
        <v>21</v>
      </c>
    </row>
    <row r="40" spans="1:5" x14ac:dyDescent="0.3">
      <c r="A40" s="16">
        <v>42480</v>
      </c>
      <c r="B40" s="8" t="s">
        <v>5</v>
      </c>
      <c r="C40" s="4" t="s">
        <v>6</v>
      </c>
      <c r="D40" s="10">
        <v>0.5</v>
      </c>
      <c r="E40" s="13" t="s">
        <v>21</v>
      </c>
    </row>
    <row r="41" spans="1:5" ht="30.6" x14ac:dyDescent="0.3">
      <c r="A41" s="16">
        <v>42480</v>
      </c>
      <c r="B41" s="8" t="s">
        <v>5</v>
      </c>
      <c r="C41" s="4" t="s">
        <v>42</v>
      </c>
      <c r="D41" s="10">
        <v>4</v>
      </c>
      <c r="E41" s="13" t="s">
        <v>21</v>
      </c>
    </row>
    <row r="42" spans="1:5" ht="20.399999999999999" x14ac:dyDescent="0.3">
      <c r="A42" s="16">
        <v>42480</v>
      </c>
      <c r="B42" s="8" t="s">
        <v>5</v>
      </c>
      <c r="C42" s="4" t="s">
        <v>43</v>
      </c>
      <c r="D42" s="10">
        <v>2.5</v>
      </c>
      <c r="E42" s="13" t="s">
        <v>21</v>
      </c>
    </row>
    <row r="43" spans="1:5" ht="20.399999999999999" x14ac:dyDescent="0.3">
      <c r="A43" s="16">
        <v>42480</v>
      </c>
      <c r="B43" s="8" t="s">
        <v>5</v>
      </c>
      <c r="C43" s="4" t="s">
        <v>34</v>
      </c>
      <c r="D43" s="10">
        <v>1</v>
      </c>
      <c r="E43" s="13" t="s">
        <v>21</v>
      </c>
    </row>
    <row r="44" spans="1:5" x14ac:dyDescent="0.3">
      <c r="A44" s="16">
        <v>42481</v>
      </c>
      <c r="B44" s="8" t="s">
        <v>5</v>
      </c>
      <c r="C44" s="4" t="s">
        <v>6</v>
      </c>
      <c r="D44" s="10">
        <v>0.5</v>
      </c>
      <c r="E44" s="13" t="s">
        <v>21</v>
      </c>
    </row>
    <row r="45" spans="1:5" ht="91.8" x14ac:dyDescent="0.3">
      <c r="A45" s="16">
        <v>42481</v>
      </c>
      <c r="B45" s="8" t="s">
        <v>5</v>
      </c>
      <c r="C45" s="4" t="s">
        <v>44</v>
      </c>
      <c r="D45" s="10">
        <v>6.5</v>
      </c>
      <c r="E45" s="13" t="s">
        <v>21</v>
      </c>
    </row>
    <row r="46" spans="1:5" ht="51" x14ac:dyDescent="0.3">
      <c r="A46" s="16">
        <v>42481</v>
      </c>
      <c r="B46" s="8" t="s">
        <v>5</v>
      </c>
      <c r="C46" s="4" t="s">
        <v>45</v>
      </c>
      <c r="D46" s="10">
        <v>1</v>
      </c>
      <c r="E46" s="13" t="s">
        <v>21</v>
      </c>
    </row>
    <row r="47" spans="1:5" x14ac:dyDescent="0.3">
      <c r="A47" s="16">
        <v>42485</v>
      </c>
      <c r="B47" s="8" t="s">
        <v>5</v>
      </c>
      <c r="C47" s="4" t="s">
        <v>6</v>
      </c>
      <c r="D47" s="10">
        <v>0.5</v>
      </c>
      <c r="E47" s="13" t="s">
        <v>21</v>
      </c>
    </row>
    <row r="48" spans="1:5" ht="61.2" x14ac:dyDescent="0.3">
      <c r="A48" s="16">
        <v>42485</v>
      </c>
      <c r="B48" s="8" t="s">
        <v>5</v>
      </c>
      <c r="C48" s="4" t="s">
        <v>46</v>
      </c>
      <c r="D48" s="10">
        <v>7.5</v>
      </c>
      <c r="E48" s="13" t="s">
        <v>21</v>
      </c>
    </row>
    <row r="49" spans="1:5" x14ac:dyDescent="0.3">
      <c r="A49" s="16">
        <v>42486</v>
      </c>
      <c r="B49" s="8" t="s">
        <v>5</v>
      </c>
      <c r="C49" s="4" t="s">
        <v>6</v>
      </c>
      <c r="D49" s="10">
        <v>0.5</v>
      </c>
      <c r="E49" s="13" t="s">
        <v>21</v>
      </c>
    </row>
    <row r="50" spans="1:5" ht="61.2" x14ac:dyDescent="0.3">
      <c r="A50" s="16">
        <v>42486</v>
      </c>
      <c r="B50" s="8" t="s">
        <v>5</v>
      </c>
      <c r="C50" s="4" t="s">
        <v>46</v>
      </c>
      <c r="D50" s="10">
        <v>7.5</v>
      </c>
      <c r="E50" s="13" t="s">
        <v>21</v>
      </c>
    </row>
    <row r="51" spans="1:5" x14ac:dyDescent="0.3">
      <c r="A51" s="16">
        <v>42487</v>
      </c>
      <c r="B51" s="8" t="s">
        <v>5</v>
      </c>
      <c r="C51" s="4" t="s">
        <v>6</v>
      </c>
      <c r="D51" s="10">
        <v>0.5</v>
      </c>
      <c r="E51" s="13" t="s">
        <v>21</v>
      </c>
    </row>
    <row r="52" spans="1:5" ht="40.799999999999997" x14ac:dyDescent="0.3">
      <c r="A52" s="16">
        <v>42487</v>
      </c>
      <c r="B52" s="8" t="s">
        <v>5</v>
      </c>
      <c r="C52" s="4" t="s">
        <v>47</v>
      </c>
      <c r="D52" s="10">
        <v>7.5</v>
      </c>
      <c r="E52" s="13" t="s">
        <v>15</v>
      </c>
    </row>
    <row r="53" spans="1:5" x14ac:dyDescent="0.3">
      <c r="A53" s="16">
        <v>42488</v>
      </c>
      <c r="B53" s="8" t="s">
        <v>5</v>
      </c>
      <c r="C53" s="4" t="s">
        <v>6</v>
      </c>
      <c r="D53" s="10">
        <v>0.5</v>
      </c>
      <c r="E53" s="13" t="s">
        <v>21</v>
      </c>
    </row>
    <row r="54" spans="1:5" ht="40.799999999999997" x14ac:dyDescent="0.3">
      <c r="A54" s="16">
        <v>42488</v>
      </c>
      <c r="B54" s="8" t="s">
        <v>5</v>
      </c>
      <c r="C54" s="4" t="s">
        <v>48</v>
      </c>
      <c r="D54" s="10">
        <v>7.5</v>
      </c>
      <c r="E54" s="13" t="s">
        <v>9</v>
      </c>
    </row>
    <row r="55" spans="1:5" x14ac:dyDescent="0.3">
      <c r="A55" s="16">
        <v>42489</v>
      </c>
      <c r="B55" s="8" t="s">
        <v>5</v>
      </c>
      <c r="C55" s="4" t="s">
        <v>6</v>
      </c>
      <c r="D55" s="10">
        <v>0.5</v>
      </c>
      <c r="E55" s="13" t="s">
        <v>21</v>
      </c>
    </row>
    <row r="56" spans="1:5" ht="30.6" x14ac:dyDescent="0.3">
      <c r="A56" s="16">
        <v>42489</v>
      </c>
      <c r="B56" s="8" t="s">
        <v>5</v>
      </c>
      <c r="C56" s="4" t="s">
        <v>49</v>
      </c>
      <c r="D56" s="10">
        <v>1</v>
      </c>
      <c r="E56" s="12" t="s">
        <v>15</v>
      </c>
    </row>
    <row r="57" spans="1:5" ht="61.2" x14ac:dyDescent="0.3">
      <c r="A57" s="16">
        <v>42489</v>
      </c>
      <c r="B57" s="8" t="s">
        <v>5</v>
      </c>
      <c r="C57" s="4" t="s">
        <v>50</v>
      </c>
      <c r="D57" s="10">
        <v>6.5</v>
      </c>
      <c r="E57" s="13" t="s">
        <v>9</v>
      </c>
    </row>
    <row r="58" spans="1:5" x14ac:dyDescent="0.3">
      <c r="A58" s="16">
        <v>42492</v>
      </c>
      <c r="B58" s="8" t="s">
        <v>5</v>
      </c>
      <c r="C58" s="4" t="s">
        <v>6</v>
      </c>
      <c r="D58" s="10">
        <v>0.5</v>
      </c>
      <c r="E58" s="13" t="s">
        <v>21</v>
      </c>
    </row>
    <row r="59" spans="1:5" ht="61.2" x14ac:dyDescent="0.3">
      <c r="A59" s="16">
        <v>42492</v>
      </c>
      <c r="B59" s="8" t="s">
        <v>5</v>
      </c>
      <c r="C59" s="4" t="s">
        <v>50</v>
      </c>
      <c r="D59" s="10">
        <v>3</v>
      </c>
      <c r="E59" s="13" t="s">
        <v>9</v>
      </c>
    </row>
    <row r="60" spans="1:5" ht="30.6" x14ac:dyDescent="0.3">
      <c r="A60" s="16">
        <v>42492</v>
      </c>
      <c r="B60" s="8" t="s">
        <v>5</v>
      </c>
      <c r="C60" s="4" t="s">
        <v>51</v>
      </c>
      <c r="D60" s="10">
        <v>2</v>
      </c>
      <c r="E60" s="13" t="s">
        <v>15</v>
      </c>
    </row>
    <row r="61" spans="1:5" ht="20.399999999999999" x14ac:dyDescent="0.3">
      <c r="A61" s="16">
        <v>42492</v>
      </c>
      <c r="B61" s="8" t="s">
        <v>5</v>
      </c>
      <c r="C61" s="4" t="s">
        <v>52</v>
      </c>
      <c r="D61" s="10">
        <v>2.5</v>
      </c>
      <c r="E61" s="12" t="s">
        <v>9</v>
      </c>
    </row>
    <row r="62" spans="1:5" x14ac:dyDescent="0.3">
      <c r="A62" s="16">
        <v>42493</v>
      </c>
      <c r="B62" s="8" t="s">
        <v>5</v>
      </c>
      <c r="C62" s="4" t="s">
        <v>6</v>
      </c>
      <c r="D62" s="10">
        <v>0.5</v>
      </c>
      <c r="E62" s="13" t="s">
        <v>21</v>
      </c>
    </row>
    <row r="63" spans="1:5" x14ac:dyDescent="0.3">
      <c r="A63" s="16">
        <v>42493</v>
      </c>
      <c r="B63" s="8" t="s">
        <v>5</v>
      </c>
      <c r="C63" s="4" t="s">
        <v>40</v>
      </c>
      <c r="D63" s="10">
        <v>1.5</v>
      </c>
      <c r="E63" s="13" t="s">
        <v>21</v>
      </c>
    </row>
    <row r="64" spans="1:5" ht="61.2" x14ac:dyDescent="0.3">
      <c r="A64" s="16">
        <v>42493</v>
      </c>
      <c r="B64" s="8" t="s">
        <v>5</v>
      </c>
      <c r="C64" s="4" t="s">
        <v>50</v>
      </c>
      <c r="D64" s="5">
        <v>2</v>
      </c>
      <c r="E64" s="13" t="s">
        <v>9</v>
      </c>
    </row>
    <row r="65" spans="1:5" ht="51" x14ac:dyDescent="0.3">
      <c r="A65" s="16">
        <v>42493</v>
      </c>
      <c r="B65" s="8" t="s">
        <v>5</v>
      </c>
      <c r="C65" s="4" t="s">
        <v>53</v>
      </c>
      <c r="D65" s="5">
        <v>3.5</v>
      </c>
      <c r="E65" s="13" t="s">
        <v>15</v>
      </c>
    </row>
    <row r="66" spans="1:5" ht="51" x14ac:dyDescent="0.3">
      <c r="A66" s="16">
        <v>42493</v>
      </c>
      <c r="B66" s="8" t="s">
        <v>5</v>
      </c>
      <c r="C66" s="4" t="s">
        <v>54</v>
      </c>
      <c r="D66" s="5">
        <v>0.5</v>
      </c>
      <c r="E66" s="13" t="s">
        <v>9</v>
      </c>
    </row>
    <row r="67" spans="1:5" x14ac:dyDescent="0.3">
      <c r="A67" s="16">
        <v>42494</v>
      </c>
      <c r="B67" s="8" t="s">
        <v>5</v>
      </c>
      <c r="C67" s="4" t="s">
        <v>6</v>
      </c>
      <c r="D67" s="10">
        <v>0.5</v>
      </c>
      <c r="E67" s="13" t="s">
        <v>21</v>
      </c>
    </row>
    <row r="68" spans="1:5" ht="30.6" x14ac:dyDescent="0.3">
      <c r="A68" s="16">
        <v>42494</v>
      </c>
      <c r="B68" s="8" t="s">
        <v>5</v>
      </c>
      <c r="C68" s="4" t="s">
        <v>55</v>
      </c>
      <c r="D68" s="10">
        <v>3</v>
      </c>
      <c r="E68" s="13" t="s">
        <v>21</v>
      </c>
    </row>
    <row r="69" spans="1:5" ht="51" x14ac:dyDescent="0.3">
      <c r="A69" s="16">
        <v>42494</v>
      </c>
      <c r="B69" s="8" t="s">
        <v>5</v>
      </c>
      <c r="C69" s="4" t="s">
        <v>54</v>
      </c>
      <c r="D69" s="10">
        <v>4.5</v>
      </c>
      <c r="E69" s="13" t="s">
        <v>9</v>
      </c>
    </row>
    <row r="70" spans="1:5" x14ac:dyDescent="0.3">
      <c r="A70" s="16">
        <v>42495</v>
      </c>
      <c r="B70" s="8" t="s">
        <v>5</v>
      </c>
      <c r="C70" s="4" t="s">
        <v>6</v>
      </c>
      <c r="D70" s="10">
        <v>0.5</v>
      </c>
      <c r="E70" s="13" t="s">
        <v>21</v>
      </c>
    </row>
    <row r="71" spans="1:5" ht="40.799999999999997" x14ac:dyDescent="0.3">
      <c r="A71" s="16">
        <v>42495</v>
      </c>
      <c r="B71" s="8" t="s">
        <v>5</v>
      </c>
      <c r="C71" s="4" t="s">
        <v>56</v>
      </c>
      <c r="D71" s="10">
        <v>2</v>
      </c>
      <c r="E71" s="13" t="s">
        <v>15</v>
      </c>
    </row>
    <row r="72" spans="1:5" ht="40.799999999999997" x14ac:dyDescent="0.3">
      <c r="A72" s="16">
        <v>42495</v>
      </c>
      <c r="B72" s="8" t="s">
        <v>5</v>
      </c>
      <c r="C72" s="4" t="s">
        <v>57</v>
      </c>
      <c r="D72" s="10">
        <v>5.5</v>
      </c>
      <c r="E72" s="13" t="s">
        <v>9</v>
      </c>
    </row>
    <row r="73" spans="1:5" x14ac:dyDescent="0.3">
      <c r="A73" s="16">
        <v>42496</v>
      </c>
      <c r="B73" s="8" t="s">
        <v>5</v>
      </c>
      <c r="C73" s="4" t="s">
        <v>6</v>
      </c>
      <c r="D73" s="10">
        <v>0.5</v>
      </c>
      <c r="E73" s="13" t="s">
        <v>21</v>
      </c>
    </row>
    <row r="74" spans="1:5" ht="51" x14ac:dyDescent="0.3">
      <c r="A74" s="16">
        <v>42496</v>
      </c>
      <c r="B74" s="8" t="s">
        <v>5</v>
      </c>
      <c r="C74" s="4" t="s">
        <v>58</v>
      </c>
      <c r="D74" s="10">
        <v>3</v>
      </c>
      <c r="E74" s="13" t="s">
        <v>9</v>
      </c>
    </row>
    <row r="75" spans="1:5" ht="41.4" thickBot="1" x14ac:dyDescent="0.35">
      <c r="A75" s="16">
        <v>42496</v>
      </c>
      <c r="B75" s="8" t="s">
        <v>5</v>
      </c>
      <c r="C75" s="4" t="s">
        <v>59</v>
      </c>
      <c r="D75" s="11">
        <v>4.5</v>
      </c>
      <c r="E75" s="13" t="s">
        <v>9</v>
      </c>
    </row>
    <row r="76" spans="1:5" ht="15" thickBot="1" x14ac:dyDescent="0.35">
      <c r="D76" s="2">
        <f>SUM(D2:D75)</f>
        <v>176</v>
      </c>
    </row>
  </sheetData>
  <dataValidations count="1">
    <dataValidation type="list" allowBlank="1" showInputMessage="1" showErrorMessage="1" sqref="E2:E75" xr:uid="{00000000-0002-0000-0100-000000000000}">
      <formula1>$T$18:$T$32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pageSetUpPr fitToPage="1"/>
  </sheetPr>
  <dimension ref="A1:T69"/>
  <sheetViews>
    <sheetView tabSelected="1" zoomScaleNormal="100" workbookViewId="0">
      <selection activeCell="H22" sqref="H22"/>
    </sheetView>
  </sheetViews>
  <sheetFormatPr baseColWidth="10" defaultColWidth="10.88671875" defaultRowHeight="14.4" x14ac:dyDescent="0.3"/>
  <cols>
    <col min="1" max="1" width="15.6640625" style="21" customWidth="1"/>
    <col min="2" max="2" width="29.5546875" customWidth="1"/>
    <col min="3" max="3" width="63.44140625" bestFit="1" customWidth="1"/>
    <col min="4" max="4" width="6" style="21" bestFit="1" customWidth="1"/>
    <col min="5" max="5" width="25.5546875" customWidth="1"/>
    <col min="20" max="20" width="32.33203125" hidden="1" customWidth="1"/>
  </cols>
  <sheetData>
    <row r="1" spans="1:20" ht="32.1" customHeight="1" x14ac:dyDescent="0.3">
      <c r="A1" s="33" t="s">
        <v>60</v>
      </c>
      <c r="B1" s="33"/>
      <c r="C1" s="33"/>
      <c r="D1" s="33"/>
      <c r="E1" s="33"/>
    </row>
    <row r="2" spans="1:20" ht="20.100000000000001" customHeight="1" x14ac:dyDescent="0.3">
      <c r="A2" s="19" t="s">
        <v>61</v>
      </c>
      <c r="B2" s="34" t="s">
        <v>62</v>
      </c>
      <c r="C2" s="34"/>
      <c r="D2" s="34"/>
      <c r="E2" s="35"/>
    </row>
    <row r="3" spans="1:20" ht="20.100000000000001" customHeight="1" x14ac:dyDescent="0.3">
      <c r="A3" s="19" t="s">
        <v>63</v>
      </c>
      <c r="B3" s="36">
        <v>45901</v>
      </c>
      <c r="C3" s="36"/>
      <c r="D3" s="36"/>
      <c r="E3" s="37"/>
    </row>
    <row r="4" spans="1:20" ht="20.100000000000001" customHeight="1" x14ac:dyDescent="0.3">
      <c r="A4" s="19" t="s">
        <v>64</v>
      </c>
      <c r="B4" s="38" t="s">
        <v>65</v>
      </c>
      <c r="C4" s="38"/>
      <c r="D4" s="38"/>
      <c r="E4" s="39"/>
    </row>
    <row r="5" spans="1:20" ht="20.100000000000001" customHeight="1" x14ac:dyDescent="0.3">
      <c r="A5" s="19" t="s">
        <v>66</v>
      </c>
      <c r="B5" s="38" t="s">
        <v>83</v>
      </c>
      <c r="C5" s="38"/>
      <c r="D5" s="38"/>
      <c r="E5" s="39"/>
    </row>
    <row r="6" spans="1:20" ht="20.100000000000001" customHeight="1" thickBot="1" x14ac:dyDescent="0.35">
      <c r="A6" s="19" t="s">
        <v>67</v>
      </c>
      <c r="B6" s="31" t="s">
        <v>81</v>
      </c>
      <c r="C6" s="31"/>
      <c r="D6" s="31"/>
      <c r="E6" s="32"/>
    </row>
    <row r="7" spans="1:20" ht="33.6" customHeight="1" x14ac:dyDescent="0.3">
      <c r="A7" s="6" t="s">
        <v>68</v>
      </c>
      <c r="B7" s="7" t="s">
        <v>69</v>
      </c>
      <c r="C7" s="7" t="s">
        <v>70</v>
      </c>
      <c r="D7" s="7" t="s">
        <v>3</v>
      </c>
      <c r="E7" s="7" t="s">
        <v>71</v>
      </c>
    </row>
    <row r="8" spans="1:20" x14ac:dyDescent="0.3">
      <c r="A8" s="20">
        <v>45901</v>
      </c>
      <c r="B8" s="18" t="s">
        <v>80</v>
      </c>
      <c r="C8" t="s">
        <v>84</v>
      </c>
      <c r="D8" s="22">
        <v>8</v>
      </c>
      <c r="E8" s="28" t="s">
        <v>72</v>
      </c>
    </row>
    <row r="9" spans="1:20" x14ac:dyDescent="0.3">
      <c r="A9" s="20">
        <f>WORKDAY.INTL(A8,1)</f>
        <v>45902</v>
      </c>
      <c r="B9" s="18" t="s">
        <v>80</v>
      </c>
      <c r="C9" t="s">
        <v>85</v>
      </c>
      <c r="D9" s="22">
        <v>8</v>
      </c>
      <c r="E9" s="28" t="s">
        <v>72</v>
      </c>
    </row>
    <row r="10" spans="1:20" x14ac:dyDescent="0.3">
      <c r="A10" s="20">
        <f t="shared" ref="A10:A22" si="0">WORKDAY.INTL(A9,1)</f>
        <v>45903</v>
      </c>
      <c r="B10" s="18" t="s">
        <v>80</v>
      </c>
      <c r="C10" t="s">
        <v>86</v>
      </c>
      <c r="D10" s="22">
        <v>8</v>
      </c>
      <c r="E10" s="28" t="s">
        <v>72</v>
      </c>
      <c r="T10" t="s">
        <v>73</v>
      </c>
    </row>
    <row r="11" spans="1:20" x14ac:dyDescent="0.3">
      <c r="A11" s="20">
        <f t="shared" si="0"/>
        <v>45904</v>
      </c>
      <c r="B11" s="18" t="s">
        <v>80</v>
      </c>
      <c r="C11" t="s">
        <v>87</v>
      </c>
      <c r="D11" s="22">
        <v>8</v>
      </c>
      <c r="E11" s="28" t="s">
        <v>72</v>
      </c>
      <c r="T11" t="s">
        <v>74</v>
      </c>
    </row>
    <row r="12" spans="1:20" x14ac:dyDescent="0.3">
      <c r="A12" s="20">
        <f t="shared" si="0"/>
        <v>45905</v>
      </c>
      <c r="B12" s="18" t="s">
        <v>80</v>
      </c>
      <c r="C12" t="s">
        <v>87</v>
      </c>
      <c r="D12" s="22">
        <v>8</v>
      </c>
      <c r="E12" s="28" t="s">
        <v>72</v>
      </c>
      <c r="T12" t="s">
        <v>72</v>
      </c>
    </row>
    <row r="13" spans="1:20" x14ac:dyDescent="0.3">
      <c r="A13" s="20">
        <f t="shared" si="0"/>
        <v>45908</v>
      </c>
      <c r="B13" s="18" t="s">
        <v>80</v>
      </c>
      <c r="C13" t="s">
        <v>88</v>
      </c>
      <c r="D13" s="22">
        <v>8</v>
      </c>
      <c r="E13" s="28" t="s">
        <v>72</v>
      </c>
      <c r="T13" t="s">
        <v>75</v>
      </c>
    </row>
    <row r="14" spans="1:20" x14ac:dyDescent="0.3">
      <c r="A14" s="20">
        <f t="shared" si="0"/>
        <v>45909</v>
      </c>
      <c r="B14" s="18" t="s">
        <v>80</v>
      </c>
      <c r="C14" t="s">
        <v>89</v>
      </c>
      <c r="D14" s="22">
        <v>8</v>
      </c>
      <c r="E14" s="28" t="s">
        <v>72</v>
      </c>
      <c r="T14" t="s">
        <v>76</v>
      </c>
    </row>
    <row r="15" spans="1:20" x14ac:dyDescent="0.3">
      <c r="A15" s="20">
        <f t="shared" si="0"/>
        <v>45910</v>
      </c>
      <c r="B15" s="18" t="s">
        <v>80</v>
      </c>
      <c r="C15" t="s">
        <v>82</v>
      </c>
      <c r="D15" s="22">
        <v>8</v>
      </c>
      <c r="E15" s="28" t="s">
        <v>72</v>
      </c>
      <c r="T15" t="s">
        <v>77</v>
      </c>
    </row>
    <row r="16" spans="1:20" x14ac:dyDescent="0.3">
      <c r="A16" s="20">
        <f t="shared" si="0"/>
        <v>45911</v>
      </c>
      <c r="B16" s="18" t="s">
        <v>80</v>
      </c>
      <c r="C16" t="s">
        <v>90</v>
      </c>
      <c r="D16" s="22">
        <v>8</v>
      </c>
      <c r="E16" s="28" t="s">
        <v>72</v>
      </c>
    </row>
    <row r="17" spans="1:20" x14ac:dyDescent="0.3">
      <c r="A17" s="20">
        <f t="shared" si="0"/>
        <v>45912</v>
      </c>
      <c r="B17" s="18" t="s">
        <v>80</v>
      </c>
      <c r="C17" t="s">
        <v>87</v>
      </c>
      <c r="D17" s="22">
        <v>8</v>
      </c>
      <c r="E17" s="28" t="s">
        <v>72</v>
      </c>
      <c r="T17" t="s">
        <v>78</v>
      </c>
    </row>
    <row r="18" spans="1:20" x14ac:dyDescent="0.3">
      <c r="A18" s="20">
        <f t="shared" si="0"/>
        <v>45915</v>
      </c>
      <c r="B18" s="18" t="s">
        <v>80</v>
      </c>
      <c r="C18" t="s">
        <v>91</v>
      </c>
      <c r="D18" s="22">
        <v>8</v>
      </c>
      <c r="E18" s="28" t="s">
        <v>72</v>
      </c>
    </row>
    <row r="19" spans="1:20" x14ac:dyDescent="0.3">
      <c r="A19" s="20">
        <f t="shared" si="0"/>
        <v>45916</v>
      </c>
      <c r="B19" s="18" t="s">
        <v>80</v>
      </c>
      <c r="C19" t="s">
        <v>92</v>
      </c>
      <c r="D19" s="22">
        <v>8</v>
      </c>
      <c r="E19" s="28" t="s">
        <v>72</v>
      </c>
    </row>
    <row r="20" spans="1:20" x14ac:dyDescent="0.3">
      <c r="A20" s="20">
        <f t="shared" si="0"/>
        <v>45917</v>
      </c>
      <c r="B20" s="18" t="s">
        <v>80</v>
      </c>
      <c r="C20" t="s">
        <v>87</v>
      </c>
      <c r="D20" s="22">
        <v>8</v>
      </c>
      <c r="E20" s="28" t="s">
        <v>72</v>
      </c>
    </row>
    <row r="21" spans="1:20" x14ac:dyDescent="0.3">
      <c r="A21" s="20">
        <f t="shared" si="0"/>
        <v>45918</v>
      </c>
      <c r="B21" s="18" t="s">
        <v>80</v>
      </c>
      <c r="C21" t="s">
        <v>87</v>
      </c>
      <c r="D21" s="22">
        <v>8</v>
      </c>
      <c r="E21" s="28" t="s">
        <v>72</v>
      </c>
    </row>
    <row r="22" spans="1:20" x14ac:dyDescent="0.3">
      <c r="A22" s="20">
        <f t="shared" si="0"/>
        <v>45919</v>
      </c>
      <c r="B22" s="18" t="s">
        <v>80</v>
      </c>
      <c r="C22" t="s">
        <v>90</v>
      </c>
      <c r="D22" s="22">
        <v>8</v>
      </c>
      <c r="E22" s="28" t="s">
        <v>72</v>
      </c>
    </row>
    <row r="23" spans="1:20" x14ac:dyDescent="0.3">
      <c r="A23" s="20">
        <f>WORKDAY.INTL(A22,1)</f>
        <v>45922</v>
      </c>
      <c r="B23" s="18" t="s">
        <v>80</v>
      </c>
      <c r="C23" t="s">
        <v>93</v>
      </c>
      <c r="D23" s="22">
        <v>8</v>
      </c>
      <c r="E23" s="28" t="s">
        <v>72</v>
      </c>
    </row>
    <row r="24" spans="1:20" x14ac:dyDescent="0.3">
      <c r="A24" s="20">
        <f t="shared" ref="A24:A29" si="1">WORKDAY.INTL(A23,1)</f>
        <v>45923</v>
      </c>
      <c r="B24" s="18" t="s">
        <v>80</v>
      </c>
      <c r="C24" t="s">
        <v>94</v>
      </c>
      <c r="D24" s="22">
        <v>8</v>
      </c>
      <c r="E24" s="28" t="s">
        <v>72</v>
      </c>
    </row>
    <row r="25" spans="1:20" x14ac:dyDescent="0.3">
      <c r="A25" s="20">
        <f t="shared" si="1"/>
        <v>45924</v>
      </c>
      <c r="B25" s="18" t="s">
        <v>80</v>
      </c>
      <c r="C25" t="s">
        <v>87</v>
      </c>
      <c r="D25" s="22">
        <v>8</v>
      </c>
      <c r="E25" s="28" t="s">
        <v>72</v>
      </c>
    </row>
    <row r="26" spans="1:20" x14ac:dyDescent="0.3">
      <c r="A26" s="20">
        <f>WORKDAY.INTL(A25,1)</f>
        <v>45925</v>
      </c>
      <c r="B26" s="18" t="s">
        <v>80</v>
      </c>
      <c r="C26" t="s">
        <v>87</v>
      </c>
      <c r="D26" s="22">
        <v>8</v>
      </c>
      <c r="E26" s="28" t="s">
        <v>72</v>
      </c>
    </row>
    <row r="27" spans="1:20" x14ac:dyDescent="0.3">
      <c r="A27" s="20">
        <f t="shared" si="1"/>
        <v>45926</v>
      </c>
      <c r="B27" s="18" t="s">
        <v>80</v>
      </c>
      <c r="C27" t="s">
        <v>87</v>
      </c>
      <c r="D27" s="22">
        <v>8</v>
      </c>
      <c r="E27" s="28" t="s">
        <v>72</v>
      </c>
    </row>
    <row r="28" spans="1:20" x14ac:dyDescent="0.3">
      <c r="A28" s="20">
        <f t="shared" si="1"/>
        <v>45929</v>
      </c>
      <c r="B28" s="18" t="s">
        <v>80</v>
      </c>
      <c r="C28" t="s">
        <v>95</v>
      </c>
      <c r="D28" s="22">
        <v>8</v>
      </c>
      <c r="E28" s="28" t="s">
        <v>72</v>
      </c>
    </row>
    <row r="29" spans="1:20" x14ac:dyDescent="0.3">
      <c r="A29" s="20">
        <f t="shared" si="1"/>
        <v>45930</v>
      </c>
      <c r="B29" s="18" t="s">
        <v>80</v>
      </c>
      <c r="C29" t="s">
        <v>87</v>
      </c>
      <c r="D29" s="22">
        <v>8</v>
      </c>
      <c r="E29" s="28" t="s">
        <v>72</v>
      </c>
    </row>
    <row r="30" spans="1:20" ht="15.6" x14ac:dyDescent="0.3">
      <c r="A30" s="26"/>
      <c r="B30" s="23"/>
      <c r="C30" s="24" t="s">
        <v>79</v>
      </c>
      <c r="D30" s="27">
        <f>SUM(D8:D29)</f>
        <v>176</v>
      </c>
      <c r="E30" s="23"/>
    </row>
    <row r="33" spans="3:8" x14ac:dyDescent="0.3">
      <c r="C33" s="29"/>
      <c r="D33" s="29"/>
      <c r="E33" s="29"/>
      <c r="F33" s="30"/>
      <c r="G33" s="29"/>
    </row>
    <row r="34" spans="3:8" x14ac:dyDescent="0.3">
      <c r="C34" s="29"/>
      <c r="D34" s="29"/>
      <c r="E34" s="29"/>
      <c r="F34" s="30"/>
      <c r="G34" s="29"/>
    </row>
    <row r="35" spans="3:8" x14ac:dyDescent="0.3">
      <c r="C35" s="29"/>
      <c r="D35" s="29"/>
      <c r="E35" s="29"/>
      <c r="F35" s="30"/>
      <c r="G35" s="29"/>
    </row>
    <row r="36" spans="3:8" x14ac:dyDescent="0.3">
      <c r="C36" s="29"/>
      <c r="D36" s="29"/>
      <c r="E36" s="29"/>
      <c r="F36" s="30"/>
      <c r="G36" s="29"/>
    </row>
    <row r="37" spans="3:8" x14ac:dyDescent="0.3">
      <c r="C37" s="29"/>
      <c r="D37" s="29"/>
      <c r="E37" s="29"/>
      <c r="F37" s="30"/>
      <c r="G37" s="29"/>
    </row>
    <row r="38" spans="3:8" x14ac:dyDescent="0.3">
      <c r="C38" s="29"/>
      <c r="D38" s="29"/>
      <c r="E38" s="29"/>
      <c r="F38" s="30"/>
      <c r="G38" s="29"/>
    </row>
    <row r="39" spans="3:8" x14ac:dyDescent="0.3">
      <c r="C39" s="29"/>
      <c r="D39" s="29"/>
      <c r="E39" s="29"/>
      <c r="F39" s="30"/>
      <c r="G39" s="29"/>
    </row>
    <row r="40" spans="3:8" x14ac:dyDescent="0.3">
      <c r="C40" s="29"/>
      <c r="D40" s="29"/>
      <c r="E40" s="29"/>
      <c r="F40" s="30"/>
      <c r="G40" s="29"/>
    </row>
    <row r="41" spans="3:8" x14ac:dyDescent="0.3">
      <c r="C41" s="29"/>
      <c r="D41" s="29"/>
      <c r="E41" s="29"/>
      <c r="F41" s="30"/>
      <c r="G41" s="29"/>
    </row>
    <row r="42" spans="3:8" x14ac:dyDescent="0.3">
      <c r="C42" s="29"/>
      <c r="D42" s="29"/>
      <c r="E42" s="29"/>
      <c r="F42" s="30"/>
      <c r="G42" s="29"/>
    </row>
    <row r="43" spans="3:8" x14ac:dyDescent="0.3">
      <c r="C43" s="29"/>
      <c r="D43" s="29"/>
      <c r="E43" s="29"/>
      <c r="F43" s="30"/>
      <c r="G43" s="29"/>
    </row>
    <row r="44" spans="3:8" x14ac:dyDescent="0.3">
      <c r="C44" s="29"/>
      <c r="D44" s="29"/>
      <c r="E44" s="29"/>
      <c r="F44" s="30"/>
      <c r="G44" s="29"/>
    </row>
    <row r="45" spans="3:8" x14ac:dyDescent="0.3">
      <c r="C45" s="29"/>
      <c r="D45" s="29"/>
      <c r="E45" s="29"/>
      <c r="F45" s="30"/>
      <c r="G45" s="29"/>
    </row>
    <row r="46" spans="3:8" x14ac:dyDescent="0.3">
      <c r="C46" s="29"/>
      <c r="D46" s="29"/>
      <c r="E46" s="29"/>
      <c r="F46" s="30"/>
      <c r="G46" s="29"/>
    </row>
    <row r="47" spans="3:8" x14ac:dyDescent="0.3">
      <c r="C47" s="29"/>
      <c r="D47" s="29"/>
      <c r="E47" s="29"/>
      <c r="F47" s="30"/>
      <c r="G47" s="29"/>
    </row>
    <row r="48" spans="3:8" x14ac:dyDescent="0.3">
      <c r="C48" s="29"/>
      <c r="D48" s="29"/>
      <c r="E48" s="29"/>
      <c r="F48" s="30"/>
      <c r="G48" s="29"/>
      <c r="H48" s="25"/>
    </row>
    <row r="49" spans="3:8" x14ac:dyDescent="0.3">
      <c r="C49" s="29"/>
      <c r="D49" s="29"/>
      <c r="E49" s="29"/>
      <c r="F49" s="30"/>
      <c r="G49" s="29"/>
      <c r="H49" s="25"/>
    </row>
    <row r="50" spans="3:8" x14ac:dyDescent="0.3">
      <c r="C50" s="29"/>
      <c r="D50" s="29"/>
      <c r="E50" s="29"/>
      <c r="F50" s="30"/>
      <c r="G50" s="29"/>
      <c r="H50" s="25"/>
    </row>
    <row r="51" spans="3:8" x14ac:dyDescent="0.3">
      <c r="C51" s="29"/>
      <c r="D51" s="29"/>
      <c r="E51" s="29"/>
      <c r="F51" s="30"/>
      <c r="G51" s="29"/>
      <c r="H51" s="25"/>
    </row>
    <row r="52" spans="3:8" x14ac:dyDescent="0.3">
      <c r="C52" s="29"/>
      <c r="D52" s="29"/>
      <c r="E52" s="29"/>
      <c r="F52" s="30"/>
      <c r="G52" s="29"/>
      <c r="H52" s="25"/>
    </row>
    <row r="53" spans="3:8" x14ac:dyDescent="0.3">
      <c r="C53" s="29"/>
      <c r="D53" s="29"/>
      <c r="E53" s="29"/>
      <c r="F53" s="30"/>
      <c r="G53" s="29"/>
      <c r="H53" s="25"/>
    </row>
    <row r="54" spans="3:8" x14ac:dyDescent="0.3">
      <c r="C54" s="29"/>
      <c r="D54" s="29"/>
      <c r="E54" s="29"/>
      <c r="F54" s="30"/>
      <c r="G54" s="29"/>
      <c r="H54" s="25"/>
    </row>
    <row r="55" spans="3:8" x14ac:dyDescent="0.3">
      <c r="C55" s="29"/>
      <c r="D55" s="29"/>
      <c r="E55" s="29"/>
      <c r="F55" s="30"/>
      <c r="G55" s="29"/>
      <c r="H55" s="25"/>
    </row>
    <row r="56" spans="3:8" x14ac:dyDescent="0.3">
      <c r="C56" s="29"/>
      <c r="D56" s="29"/>
      <c r="E56" s="29"/>
      <c r="F56" s="30"/>
      <c r="G56" s="29"/>
      <c r="H56" s="25"/>
    </row>
    <row r="57" spans="3:8" x14ac:dyDescent="0.3">
      <c r="C57" s="29"/>
      <c r="D57" s="29"/>
      <c r="E57" s="29"/>
      <c r="F57" s="30"/>
      <c r="G57" s="29"/>
      <c r="H57" s="25"/>
    </row>
    <row r="58" spans="3:8" x14ac:dyDescent="0.3">
      <c r="C58" s="29"/>
      <c r="D58" s="29"/>
      <c r="E58" s="29"/>
      <c r="F58" s="30"/>
      <c r="G58" s="29"/>
      <c r="H58" s="25"/>
    </row>
    <row r="59" spans="3:8" x14ac:dyDescent="0.3">
      <c r="C59" s="29"/>
      <c r="D59" s="29"/>
      <c r="E59" s="29"/>
      <c r="F59" s="30"/>
      <c r="G59" s="29"/>
      <c r="H59" s="25"/>
    </row>
    <row r="60" spans="3:8" x14ac:dyDescent="0.3">
      <c r="C60" s="29"/>
      <c r="D60" s="29"/>
      <c r="E60" s="29"/>
      <c r="F60" s="30"/>
      <c r="G60" s="29"/>
    </row>
    <row r="61" spans="3:8" x14ac:dyDescent="0.3">
      <c r="C61" s="29"/>
      <c r="D61" s="29"/>
      <c r="E61" s="29"/>
      <c r="F61" s="30"/>
      <c r="G61" s="29"/>
    </row>
    <row r="62" spans="3:8" x14ac:dyDescent="0.3">
      <c r="C62" s="29"/>
      <c r="D62" s="29"/>
      <c r="E62" s="29"/>
      <c r="F62" s="30"/>
      <c r="G62" s="29"/>
    </row>
    <row r="63" spans="3:8" x14ac:dyDescent="0.3">
      <c r="C63" s="29"/>
      <c r="D63" s="29"/>
      <c r="E63" s="29"/>
      <c r="F63" s="30"/>
      <c r="G63" s="29"/>
    </row>
    <row r="64" spans="3:8" x14ac:dyDescent="0.3">
      <c r="C64" s="29"/>
      <c r="D64" s="29"/>
      <c r="E64" s="29"/>
      <c r="F64" s="30"/>
      <c r="G64" s="29"/>
    </row>
    <row r="65" spans="3:7" x14ac:dyDescent="0.3">
      <c r="C65" s="29"/>
      <c r="D65" s="29"/>
      <c r="E65" s="29"/>
      <c r="F65" s="30"/>
      <c r="G65" s="29"/>
    </row>
    <row r="66" spans="3:7" x14ac:dyDescent="0.3">
      <c r="C66" s="29"/>
      <c r="D66" s="29"/>
      <c r="E66" s="29"/>
      <c r="F66" s="30"/>
      <c r="G66" s="29"/>
    </row>
    <row r="67" spans="3:7" x14ac:dyDescent="0.3">
      <c r="C67" s="29"/>
      <c r="D67" s="29"/>
      <c r="E67" s="29"/>
      <c r="F67" s="30"/>
      <c r="G67" s="29"/>
    </row>
    <row r="68" spans="3:7" x14ac:dyDescent="0.3">
      <c r="C68" s="29"/>
      <c r="D68" s="29"/>
      <c r="E68" s="29"/>
      <c r="F68" s="30"/>
      <c r="G68" s="29"/>
    </row>
    <row r="69" spans="3:7" x14ac:dyDescent="0.3">
      <c r="C69" s="29"/>
      <c r="D69" s="29"/>
      <c r="E69" s="29"/>
      <c r="F69" s="30"/>
      <c r="G69" s="29"/>
    </row>
  </sheetData>
  <mergeCells count="6">
    <mergeCell ref="B6:E6"/>
    <mergeCell ref="A1:E1"/>
    <mergeCell ref="B2:E2"/>
    <mergeCell ref="B3:E3"/>
    <mergeCell ref="B4:E4"/>
    <mergeCell ref="B5:E5"/>
  </mergeCells>
  <dataValidations disablePrompts="1" count="2">
    <dataValidation type="list" allowBlank="1" showInputMessage="1" showErrorMessage="1" sqref="E30" xr:uid="{599E8284-45D1-456A-B825-0B8B35170817}">
      <formula1>$Q$8:$Q$15</formula1>
    </dataValidation>
    <dataValidation type="list" allowBlank="1" showInputMessage="1" showErrorMessage="1" sqref="E8:E29" xr:uid="{00000000-0002-0000-0200-000001000000}">
      <formula1>$Q$10:$Q$23</formula1>
    </dataValidation>
  </dataValidations>
  <pageMargins left="0.70866141732283472" right="0.70866141732283472" top="0.35433070866141736" bottom="0.35433070866141736" header="0.31496062992125984" footer="0.31496062992125984"/>
  <pageSetup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Anderson Lucero - SET2025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Hector Hidalgo</dc:creator>
  <cp:keywords/>
  <dc:description/>
  <cp:lastModifiedBy>Diego Val</cp:lastModifiedBy>
  <cp:revision/>
  <cp:lastPrinted>2025-10-02T18:18:29Z</cp:lastPrinted>
  <dcterms:created xsi:type="dcterms:W3CDTF">2016-03-08T18:49:32Z</dcterms:created>
  <dcterms:modified xsi:type="dcterms:W3CDTF">2025-10-02T18:18:30Z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ee4d8b2f-8660-4d4d-b392-96b42d672bd5</vt:lpwstr>
  </property>
</Properties>
</file>