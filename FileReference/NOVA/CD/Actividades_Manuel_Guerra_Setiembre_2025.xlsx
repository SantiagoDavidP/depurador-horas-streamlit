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val_grupobusiness_it/Documents/Staff Augmentation/Clientes/NOVA/Facturación/Setiembre25/CD/Reportes/"/>
    </mc:Choice>
  </mc:AlternateContent>
  <xr:revisionPtr revIDLastSave="6" documentId="13_ncr:1_{34F2360E-97D7-4F4A-8E8C-955A02C25C3D}" xr6:coauthVersionLast="47" xr6:coauthVersionMax="47" xr10:uidLastSave="{D585B8FC-9D58-4734-B733-68F9E7389EA1}"/>
  <bookViews>
    <workbookView xWindow="-108" yWindow="-108" windowWidth="23256" windowHeight="12456" xr2:uid="{00000000-000D-0000-FFFF-FFFF00000000}"/>
  </bookViews>
  <sheets>
    <sheet name="Detalle" sheetId="29" r:id="rId1"/>
    <sheet name="Resumen" sheetId="57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9" i="29" l="1"/>
  <c r="A186" i="29"/>
</calcChain>
</file>

<file path=xl/sharedStrings.xml><?xml version="1.0" encoding="utf-8"?>
<sst xmlns="http://schemas.openxmlformats.org/spreadsheetml/2006/main" count="537" uniqueCount="118">
  <si>
    <t xml:space="preserve">          INFORME ACTIVIDADES</t>
  </si>
  <si>
    <t>Fecha del Informe:</t>
  </si>
  <si>
    <t>Tema del Informe:</t>
  </si>
  <si>
    <t>Informe de Actividades</t>
  </si>
  <si>
    <t>Periodo Informe:</t>
  </si>
  <si>
    <t>Empresa:</t>
  </si>
  <si>
    <t>Consultor:</t>
  </si>
  <si>
    <t>Trabajo Realizado</t>
  </si>
  <si>
    <t>#</t>
  </si>
  <si>
    <t>Proyecto, Requerimiento</t>
  </si>
  <si>
    <t>Actividad</t>
  </si>
  <si>
    <t>Fecha</t>
  </si>
  <si>
    <t>Horas</t>
  </si>
  <si>
    <t>Tipo Hora</t>
  </si>
  <si>
    <t>HN</t>
  </si>
  <si>
    <t>Elaborado por:</t>
  </si>
  <si>
    <t>Aprobado por:</t>
  </si>
  <si>
    <t>Oswaldo Zuñiga</t>
  </si>
  <si>
    <t>Subgerente de Innovación y Nuevas Tecnologías</t>
  </si>
  <si>
    <t>Business IT</t>
  </si>
  <si>
    <t>Etiquetas de fila</t>
  </si>
  <si>
    <t>Total general</t>
  </si>
  <si>
    <t>Suma de Horas</t>
  </si>
  <si>
    <t>(en blanco)</t>
  </si>
  <si>
    <t>Manuel Guerra</t>
  </si>
  <si>
    <t>Desarrollador Front-end</t>
  </si>
  <si>
    <t>Célula Shield Seguros</t>
  </si>
  <si>
    <t>Shield Seguros Daily</t>
  </si>
  <si>
    <t>Atómicos Daily</t>
  </si>
  <si>
    <t>Célula Atómicos</t>
  </si>
  <si>
    <t>Planning Shield y Atómicos</t>
  </si>
  <si>
    <t>Shield Seguros Refinamiento</t>
  </si>
  <si>
    <t>Pase a prod | nueva landing exequial - fraudes (sesion)</t>
  </si>
  <si>
    <t>Revisión final puntos de matriz de riesgo (sesion)</t>
  </si>
  <si>
    <t>Revisión de seguridad - Embedx (sesion)</t>
  </si>
  <si>
    <t>Revisión arquitectura front-end EVA (sesion)</t>
  </si>
  <si>
    <t>Pase a prod | CMB mail (sesion)</t>
  </si>
  <si>
    <t>revisión novedades (sesion)</t>
  </si>
  <si>
    <t>Sync | revisión figma | FE - QA - UI - UX</t>
  </si>
  <si>
    <t>Sync | revisión hub | FE - FT(A) - BE - ARQ</t>
  </si>
  <si>
    <t>Sync | revisión hub | FE - BE - BE(A) - QA(A)</t>
  </si>
  <si>
    <t>Sync | revisión puntos de matriz | FE - ARQ - DEV(BP)</t>
  </si>
  <si>
    <t>Sync | revisión iniciativas | FE - BE - ARQ</t>
  </si>
  <si>
    <t>Sync | revisión iniciativas | FE - FE(A) - BE - ARQ</t>
  </si>
  <si>
    <t>Revisión de test A/B (sesion)</t>
  </si>
  <si>
    <t>Pruebas Consumo API Nova BP y Flujo Venta Integrada (sesion)</t>
  </si>
  <si>
    <t>Sync | revisión mejoras en asistido | FE - QA - QA(A) - ARQ</t>
  </si>
  <si>
    <t>Sync | revisión hub | FE - BE - BE(A) - QA(A) - ARQ</t>
  </si>
  <si>
    <t>Pase a prod - cmb animaciones (sesion)</t>
  </si>
  <si>
    <t>Revisión casos iphone (sesion)</t>
  </si>
  <si>
    <t>Revisión pantalla error de datos de contactabilidad (sesion)</t>
  </si>
  <si>
    <t>Sync | revisión social mail | FE - BE - QA</t>
  </si>
  <si>
    <t>Sync | revisión catalogs | FE - BE - QA</t>
  </si>
  <si>
    <t>Sync | revisión actualización de contratos | FE - BE - BE(TI) - ARQ</t>
  </si>
  <si>
    <t>Pase PROD: OP Ganada (sesion)</t>
  </si>
  <si>
    <t>revison seguridad hub pendiente 2 (sesion)</t>
  </si>
  <si>
    <t>Sync | revisión iniciativas | FE - FE(A) - BE</t>
  </si>
  <si>
    <t>Sync | revisión cookies | FE - BE - ARQ</t>
  </si>
  <si>
    <t>Sync | revisión a observaciones en el APIM  | FE - BE - ARQ</t>
  </si>
  <si>
    <t>Sync | revisión test a-b | FE - BE - QA</t>
  </si>
  <si>
    <t>Sync | revisión mejoras en asistido | FE - QA - ARQ</t>
  </si>
  <si>
    <t>Prework Q4 (sesion)</t>
  </si>
  <si>
    <t>Pase a prod | composición por bloques + iteración microinteracciones (sesion)</t>
  </si>
  <si>
    <t>Sync | revisión figma | FE - UX</t>
  </si>
  <si>
    <t>Sync | revisión iniciativas | FE - ARQ</t>
  </si>
  <si>
    <t>Sync | revisión novedades | FE - QA</t>
  </si>
  <si>
    <t>Sync | revisión novedades | FE - QA(A)</t>
  </si>
  <si>
    <t>Sync | revisión de arquitectura monorepo | FE - FE(A)</t>
  </si>
  <si>
    <t>Syn | revisión de iniciativas | FE - ARQ</t>
  </si>
  <si>
    <t>Sync | revisión hub | FE - FE(A)</t>
  </si>
  <si>
    <t>Sync | revisión hub | FE - QA(A)</t>
  </si>
  <si>
    <t>Sync | revisión hub | FE - BE</t>
  </si>
  <si>
    <t>Sync | revisión iteraciones | FE - UI</t>
  </si>
  <si>
    <t>Sync | revisión monorepo | FE - FE(A)</t>
  </si>
  <si>
    <t>Sync | revisión eventos gtm | FE - UX</t>
  </si>
  <si>
    <t>Sync | revisión pbi | FE - SM</t>
  </si>
  <si>
    <t>Sync | revisión novedades | FE - QA - ARQ</t>
  </si>
  <si>
    <t>Sync | revisión orden de secciones | FE - UI - UX</t>
  </si>
  <si>
    <t>Revisemos Observaciones Matriz de Riesgos (sesion)</t>
  </si>
  <si>
    <t>revisión entorno no productivo - hub seguros (sesion)</t>
  </si>
  <si>
    <t>Revisión activos digitales Hub Seguros (sesion)</t>
  </si>
  <si>
    <t>Sync | revisión aprobación qa | FE - QA - QA(A)</t>
  </si>
  <si>
    <t>Pruebas CMB Seguros (sesion)</t>
  </si>
  <si>
    <t>revison hus para pruebas de seguridad (sesion)</t>
  </si>
  <si>
    <t>Sync | revisión preciso | FE - ARQ - PO(BP) - DV(BP)</t>
  </si>
  <si>
    <t>revisión de integración BP-NOVA (sesion)</t>
  </si>
  <si>
    <t>revisión BPPSE-515 (sesion)</t>
  </si>
  <si>
    <t>Revisión de api Insurance management V1 (sesion)</t>
  </si>
  <si>
    <t>Taller de análisis técnico para CMB en campañas owned (sesion)</t>
  </si>
  <si>
    <t>Sync | revisión seguridad bp | FE - BE(A) - QA(A)</t>
  </si>
  <si>
    <t>Revisar integración crédito en línea con serguros. (sesion)</t>
  </si>
  <si>
    <t>Shield Seguros Review</t>
  </si>
  <si>
    <t>desarrollo | refactorización | web.social.pichincha</t>
  </si>
  <si>
    <t>desarrollo | refactorización | monorepo.pichincha</t>
  </si>
  <si>
    <t>desarrollo | incorporación de componente mail | web.social.pichincha</t>
  </si>
  <si>
    <t>desarrollo | refactorización - subscription - life_health | monorepo.pichincha</t>
  </si>
  <si>
    <t>desarrollo | actualización de scripts odd | transversal</t>
  </si>
  <si>
    <t>desarrollo | refactorización - landing - total_family_funeral | monorepo.pichincha</t>
  </si>
  <si>
    <t>desarrollo | refactorización - landing - life_health | monorepo.pichincha</t>
  </si>
  <si>
    <t>desarrollo | iteración cmb - life_health | monorepo.pichincha</t>
  </si>
  <si>
    <t>desarrollo | iteración cmb - total_family_funeral | monorepo.pichincha</t>
  </si>
  <si>
    <t>desarrollo | iteración cmb - frauds | monorepo.pichincha</t>
  </si>
  <si>
    <t>desarrollo | iteración cmb - hospimed | monorepo.pichincha</t>
  </si>
  <si>
    <t>desarrollo | mejoras de sesión en asistido | monorepo.pichincha</t>
  </si>
  <si>
    <t>desarrollo | mejoras de sesión en asistido | web.productos.pichincha</t>
  </si>
  <si>
    <t>desarrollo | mover contenido a odd - life_health | monorepo.pichincha</t>
  </si>
  <si>
    <t>desarrikki | actualización de scripts odd | transversal</t>
  </si>
  <si>
    <t>desarrollo | mover contenido a odd - total_family_funeral | monorepo.pichincha</t>
  </si>
  <si>
    <t>desarrollo | iteración microinteracciones - life_health | monorepo.pichincha</t>
  </si>
  <si>
    <t>desarrollo | iteración microinteracciones - total_family_funeral | monorepo.pichincha</t>
  </si>
  <si>
    <t>desarrollo | iteración de microinteracciones - frauds | monorepo.pichincha</t>
  </si>
  <si>
    <t>desarrollo | configuraciones test AB | transversal</t>
  </si>
  <si>
    <t>desarrollo | control de duplicidad | web.social.pichincha</t>
  </si>
  <si>
    <t>desarrollo | iteración packages | monorepo.pichincha</t>
  </si>
  <si>
    <t>desarrollo | correcciones en asistido | monorepo.pichincha</t>
  </si>
  <si>
    <t>desarrollo | refactorización - subscription - total_family_funeral | monorepo.pichincha</t>
  </si>
  <si>
    <t>desarrollo | refactorización landing - life_health | monorepo.pichincha</t>
  </si>
  <si>
    <t>01/09/2025 – 30/09/2025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</si>
</sst>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81">
    <xf numFmtId="0" fontId="0" fillId="0" borderId="0"/>
    <xf numFmtId="0" fontId="7" fillId="0" borderId="0" applyNumberFormat="0" applyFill="0" applyBorder="0" applyAlignment="0" applyProtection="0"/>
    <xf numFmtId="0" fontId="8" fillId="0" borderId="12" applyNumberFormat="0" applyFill="0" applyAlignment="0" applyProtection="0"/>
    <xf numFmtId="0" fontId="9" fillId="0" borderId="13" applyNumberFormat="0" applyFill="0" applyAlignment="0" applyProtection="0"/>
    <xf numFmtId="0" fontId="10" fillId="0" borderId="1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15" applyNumberFormat="0" applyAlignment="0" applyProtection="0"/>
    <xf numFmtId="0" fontId="15" fillId="9" borderId="16" applyNumberFormat="0" applyAlignment="0" applyProtection="0"/>
    <xf numFmtId="0" fontId="16" fillId="9" borderId="15" applyNumberFormat="0" applyAlignment="0" applyProtection="0"/>
    <xf numFmtId="0" fontId="17" fillId="0" borderId="17" applyNumberFormat="0" applyFill="0" applyAlignment="0" applyProtection="0"/>
    <xf numFmtId="0" fontId="3" fillId="10" borderId="18" applyNumberFormat="0" applyAlignment="0" applyProtection="0"/>
    <xf numFmtId="0" fontId="18" fillId="0" borderId="0" applyNumberFormat="0" applyFill="0" applyBorder="0" applyAlignment="0" applyProtection="0"/>
    <xf numFmtId="0" fontId="6" fillId="11" borderId="19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0" applyNumberFormat="0" applyFill="0" applyAlignment="0" applyProtection="0"/>
    <xf numFmtId="0" fontId="20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12" applyNumberFormat="0" applyFill="0" applyAlignment="0" applyProtection="0"/>
    <xf numFmtId="0" fontId="9" fillId="0" borderId="13" applyNumberFormat="0" applyFill="0" applyAlignment="0" applyProtection="0"/>
    <xf numFmtId="0" fontId="10" fillId="0" borderId="1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4" fillId="8" borderId="15" applyNumberFormat="0" applyAlignment="0" applyProtection="0"/>
    <xf numFmtId="0" fontId="15" fillId="9" borderId="16" applyNumberFormat="0" applyAlignment="0" applyProtection="0"/>
    <xf numFmtId="0" fontId="16" fillId="9" borderId="15" applyNumberFormat="0" applyAlignment="0" applyProtection="0"/>
    <xf numFmtId="0" fontId="17" fillId="0" borderId="17" applyNumberFormat="0" applyFill="0" applyAlignment="0" applyProtection="0"/>
    <xf numFmtId="0" fontId="3" fillId="10" borderId="18" applyNumberFormat="0" applyAlignment="0" applyProtection="0"/>
    <xf numFmtId="0" fontId="18" fillId="0" borderId="0" applyNumberFormat="0" applyFill="0" applyBorder="0" applyAlignment="0" applyProtection="0"/>
    <xf numFmtId="0" fontId="1" fillId="11" borderId="19" applyNumberFormat="0" applyFont="0" applyAlignment="0" applyProtection="0"/>
    <xf numFmtId="0" fontId="19" fillId="0" borderId="0" applyNumberFormat="0" applyFill="0" applyBorder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36" borderId="0" xfId="0" applyFill="1"/>
    <xf numFmtId="0" fontId="0" fillId="0" borderId="1" xfId="0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left" vertical="center" wrapText="1"/>
    </xf>
    <xf numFmtId="0" fontId="5" fillId="4" borderId="28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4" borderId="24" xfId="0" applyFont="1" applyFill="1" applyBorder="1" applyAlignment="1">
      <alignment horizontal="left" vertical="center" wrapText="1"/>
    </xf>
    <xf numFmtId="0" fontId="5" fillId="4" borderId="26" xfId="0" applyFont="1" applyFill="1" applyBorder="1" applyAlignment="1">
      <alignment horizontal="left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 wrapText="1"/>
    </xf>
  </cellXfs>
  <cellStyles count="81">
    <cellStyle name="20% - Énfasis1" xfId="19" xr:uid="{00000000-0005-0000-0000-000000000000}"/>
    <cellStyle name="20% - Énfasis1 2" xfId="58" xr:uid="{00000000-0005-0000-0000-000001000000}"/>
    <cellStyle name="20% - Énfasis2" xfId="23" xr:uid="{00000000-0005-0000-0000-000002000000}"/>
    <cellStyle name="20% - Énfasis2 2" xfId="62" xr:uid="{00000000-0005-0000-0000-000003000000}"/>
    <cellStyle name="20% - Énfasis3" xfId="27" xr:uid="{00000000-0005-0000-0000-000004000000}"/>
    <cellStyle name="20% - Énfasis3 2" xfId="66" xr:uid="{00000000-0005-0000-0000-000005000000}"/>
    <cellStyle name="20% - Énfasis4" xfId="31" xr:uid="{00000000-0005-0000-0000-000006000000}"/>
    <cellStyle name="20% - Énfasis4 2" xfId="70" xr:uid="{00000000-0005-0000-0000-000007000000}"/>
    <cellStyle name="20% - Énfasis5" xfId="35" xr:uid="{00000000-0005-0000-0000-000008000000}"/>
    <cellStyle name="20% - Énfasis5 2" xfId="74" xr:uid="{00000000-0005-0000-0000-000009000000}"/>
    <cellStyle name="20% - Énfasis6" xfId="39" xr:uid="{00000000-0005-0000-0000-00000A000000}"/>
    <cellStyle name="20% - Énfasis6 2" xfId="78" xr:uid="{00000000-0005-0000-0000-00000B000000}"/>
    <cellStyle name="40% - Énfasis1" xfId="20" xr:uid="{00000000-0005-0000-0000-00000C000000}"/>
    <cellStyle name="40% - Énfasis1 2" xfId="59" xr:uid="{00000000-0005-0000-0000-00000D000000}"/>
    <cellStyle name="40% - Énfasis2" xfId="24" xr:uid="{00000000-0005-0000-0000-00000E000000}"/>
    <cellStyle name="40% - Énfasis2 2" xfId="63" xr:uid="{00000000-0005-0000-0000-00000F000000}"/>
    <cellStyle name="40% - Énfasis3" xfId="28" xr:uid="{00000000-0005-0000-0000-000010000000}"/>
    <cellStyle name="40% - Énfasis3 2" xfId="67" xr:uid="{00000000-0005-0000-0000-000011000000}"/>
    <cellStyle name="40% - Énfasis4" xfId="32" xr:uid="{00000000-0005-0000-0000-000012000000}"/>
    <cellStyle name="40% - Énfasis4 2" xfId="71" xr:uid="{00000000-0005-0000-0000-000013000000}"/>
    <cellStyle name="40% - Énfasis5" xfId="36" xr:uid="{00000000-0005-0000-0000-000014000000}"/>
    <cellStyle name="40% - Énfasis5 2" xfId="75" xr:uid="{00000000-0005-0000-0000-000015000000}"/>
    <cellStyle name="40% - Énfasis6" xfId="40" xr:uid="{00000000-0005-0000-0000-000016000000}"/>
    <cellStyle name="40% - Énfasis6 2" xfId="79" xr:uid="{00000000-0005-0000-0000-000017000000}"/>
    <cellStyle name="60% - Énfasis1" xfId="21" xr:uid="{00000000-0005-0000-0000-000018000000}"/>
    <cellStyle name="60% - Énfasis1 2" xfId="60" xr:uid="{00000000-0005-0000-0000-000019000000}"/>
    <cellStyle name="60% - Énfasis2" xfId="25" xr:uid="{00000000-0005-0000-0000-00001A000000}"/>
    <cellStyle name="60% - Énfasis2 2" xfId="64" xr:uid="{00000000-0005-0000-0000-00001B000000}"/>
    <cellStyle name="60% - Énfasis3" xfId="29" xr:uid="{00000000-0005-0000-0000-00001C000000}"/>
    <cellStyle name="60% - Énfasis3 2" xfId="68" xr:uid="{00000000-0005-0000-0000-00001D000000}"/>
    <cellStyle name="60% - Énfasis4" xfId="33" xr:uid="{00000000-0005-0000-0000-00001E000000}"/>
    <cellStyle name="60% - Énfasis4 2" xfId="72" xr:uid="{00000000-0005-0000-0000-00001F000000}"/>
    <cellStyle name="60% - Énfasis5" xfId="37" xr:uid="{00000000-0005-0000-0000-000020000000}"/>
    <cellStyle name="60% - Énfasis5 2" xfId="76" xr:uid="{00000000-0005-0000-0000-000021000000}"/>
    <cellStyle name="60% - Énfasis6" xfId="41" xr:uid="{00000000-0005-0000-0000-000022000000}"/>
    <cellStyle name="60% - Énfasis6 2" xfId="80" xr:uid="{00000000-0005-0000-0000-000023000000}"/>
    <cellStyle name="Bueno" xfId="6" xr:uid="{00000000-0005-0000-0000-000024000000}"/>
    <cellStyle name="Bueno 2" xfId="47" xr:uid="{00000000-0005-0000-0000-000025000000}"/>
    <cellStyle name="Cálculo" xfId="11" xr:uid="{00000000-0005-0000-0000-000026000000}"/>
    <cellStyle name="Cálculo 2" xfId="51" xr:uid="{00000000-0005-0000-0000-000027000000}"/>
    <cellStyle name="Celda de comprobación" xfId="13" xr:uid="{00000000-0005-0000-0000-000028000000}"/>
    <cellStyle name="Celda de comprobación 2" xfId="53" xr:uid="{00000000-0005-0000-0000-000029000000}"/>
    <cellStyle name="Celda vinculada" xfId="12" xr:uid="{00000000-0005-0000-0000-00002A000000}"/>
    <cellStyle name="Celda vinculada 2" xfId="52" xr:uid="{00000000-0005-0000-0000-00002B000000}"/>
    <cellStyle name="Encabezado 1" xfId="2" xr:uid="{00000000-0005-0000-0000-00002C000000}"/>
    <cellStyle name="Encabezado 1 2" xfId="43" xr:uid="{00000000-0005-0000-0000-00002D000000}"/>
    <cellStyle name="Encabezado 4" xfId="5" xr:uid="{00000000-0005-0000-0000-00002E000000}"/>
    <cellStyle name="Encabezado 4 2" xfId="46" xr:uid="{00000000-0005-0000-0000-00002F000000}"/>
    <cellStyle name="Énfasis1" xfId="18" xr:uid="{00000000-0005-0000-0000-000030000000}"/>
    <cellStyle name="Énfasis1 2" xfId="57" xr:uid="{00000000-0005-0000-0000-000031000000}"/>
    <cellStyle name="Énfasis2" xfId="22" xr:uid="{00000000-0005-0000-0000-000032000000}"/>
    <cellStyle name="Énfasis2 2" xfId="61" xr:uid="{00000000-0005-0000-0000-000033000000}"/>
    <cellStyle name="Énfasis3" xfId="26" xr:uid="{00000000-0005-0000-0000-000034000000}"/>
    <cellStyle name="Énfasis3 2" xfId="65" xr:uid="{00000000-0005-0000-0000-000035000000}"/>
    <cellStyle name="Énfasis4" xfId="30" xr:uid="{00000000-0005-0000-0000-000036000000}"/>
    <cellStyle name="Énfasis4 2" xfId="69" xr:uid="{00000000-0005-0000-0000-000037000000}"/>
    <cellStyle name="Énfasis5" xfId="34" xr:uid="{00000000-0005-0000-0000-000038000000}"/>
    <cellStyle name="Énfasis5 2" xfId="73" xr:uid="{00000000-0005-0000-0000-000039000000}"/>
    <cellStyle name="Énfasis6" xfId="38" xr:uid="{00000000-0005-0000-0000-00003A000000}"/>
    <cellStyle name="Énfasis6 2" xfId="77" xr:uid="{00000000-0005-0000-0000-00003B000000}"/>
    <cellStyle name="Entrada" xfId="9" xr:uid="{00000000-0005-0000-0000-00003C000000}"/>
    <cellStyle name="Entrada 2" xfId="49" xr:uid="{00000000-0005-0000-0000-00003D000000}"/>
    <cellStyle name="Incorrecto" xfId="7" xr:uid="{00000000-0005-0000-0000-00003E000000}"/>
    <cellStyle name="Incorrecto 2" xfId="48" xr:uid="{00000000-0005-0000-0000-00003F000000}"/>
    <cellStyle name="Neutral" xfId="8" builtinId="28" customBuiltin="1"/>
    <cellStyle name="Normal" xfId="0" builtinId="0"/>
    <cellStyle name="Notas" xfId="15" xr:uid="{00000000-0005-0000-0000-000042000000}"/>
    <cellStyle name="Notas 2" xfId="55" xr:uid="{00000000-0005-0000-0000-000043000000}"/>
    <cellStyle name="Salida" xfId="10" xr:uid="{00000000-0005-0000-0000-000044000000}"/>
    <cellStyle name="Salida 2" xfId="50" xr:uid="{00000000-0005-0000-0000-000045000000}"/>
    <cellStyle name="Texto de advertencia" xfId="14" xr:uid="{00000000-0005-0000-0000-000046000000}"/>
    <cellStyle name="Texto de advertencia 2" xfId="54" xr:uid="{00000000-0005-0000-0000-000047000000}"/>
    <cellStyle name="Texto explicativo" xfId="16" xr:uid="{00000000-0005-0000-0000-000048000000}"/>
    <cellStyle name="Texto explicativo 2" xfId="56" xr:uid="{00000000-0005-0000-0000-000049000000}"/>
    <cellStyle name="Título" xfId="1" xr:uid="{00000000-0005-0000-0000-00004A000000}"/>
    <cellStyle name="Título 2" xfId="3" xr:uid="{00000000-0005-0000-0000-00004B000000}"/>
    <cellStyle name="Título 2 2" xfId="44" xr:uid="{00000000-0005-0000-0000-00004C000000}"/>
    <cellStyle name="Título 3" xfId="4" xr:uid="{00000000-0005-0000-0000-00004D000000}"/>
    <cellStyle name="Título 3 2" xfId="45" xr:uid="{00000000-0005-0000-0000-00004E000000}"/>
    <cellStyle name="Título 4" xfId="42" xr:uid="{00000000-0005-0000-0000-00004F000000}"/>
    <cellStyle name="Total" xfId="17" builtinId="25" customBuiltin="1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231775</xdr:colOff>
      <xdr:row>0</xdr:row>
      <xdr:rowOff>38100</xdr:rowOff>
    </xdr:from>
    <xdr:to>
      <xdr:col>1</xdr:col>
      <xdr:colOff>906780</xdr:colOff>
      <xdr:row>0</xdr:row>
      <xdr:rowOff>495300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5C76CC-D4E4-46C8-B4FA-D0EE478E656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775" y="38100"/>
          <a:ext cx="1246505" cy="4572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rk" refreshedDate="45932.375399305558" createdVersion="8" refreshedVersion="8" minRefreshableVersion="3" recordCount="172" xr:uid="{62E19761-014C-4608-A447-36124D34FF5F}">
  <cacheSource type="worksheet">
    <worksheetSource ref="A8:F178" sheet="Detalle"/>
  </cacheSource>
  <cacheFields count="6">
    <cacheField name="#" numFmtId="0">
      <sharedItems containsSemiMixedTypes="0" containsString="0" containsNumber="1" containsInteger="1" minValue="1" maxValue="172"/>
    </cacheField>
    <cacheField name="Proyecto, Requerimiento" numFmtId="0">
      <sharedItems/>
    </cacheField>
    <cacheField name="Actividad" numFmtId="0">
      <sharedItems containsBlank="1"/>
    </cacheField>
    <cacheField name="Fecha" numFmtId="14">
      <sharedItems containsNonDate="0" containsDate="1" containsString="0" containsBlank="1" minDate="2022-05-02T00:00:00" maxDate="2025-10-01T00:00:00" count="707"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m/>
        <d v="2025-08-01T00:00:00" u="1"/>
        <d v="2025-08-04T00:00:00" u="1"/>
        <d v="2025-08-05T00:00:00" u="1"/>
        <d v="2025-08-06T00:00:00" u="1"/>
        <d v="2025-08-07T00:00:00" u="1"/>
        <d v="2025-08-08T00:00:00" u="1"/>
        <d v="2025-08-12T00:00:00" u="1"/>
        <d v="2025-08-13T00:00:00" u="1"/>
        <d v="2025-08-14T00:00:00" u="1"/>
        <d v="2025-08-15T00:00:00" u="1"/>
        <d v="2025-08-18T00:00:00" u="1"/>
        <d v="2025-08-19T00:00:00" u="1"/>
        <d v="2025-08-20T00:00:00" u="1"/>
        <d v="2025-08-21T00:00:00" u="1"/>
        <d v="2025-08-22T00:00:00" u="1"/>
        <d v="2025-08-25T00:00:00" u="1"/>
        <d v="2025-08-26T00:00:00" u="1"/>
        <d v="2025-08-27T00:00:00" u="1"/>
        <d v="2025-08-28T00:00:00" u="1"/>
        <d v="2025-08-29T00:00:00" u="1"/>
        <d v="2025-07-01T00:00:00" u="1"/>
        <d v="2025-07-02T00:00:00" u="1"/>
        <d v="2025-07-03T00:00:00" u="1"/>
        <d v="2025-07-04T00:00:00" u="1"/>
        <d v="2025-07-07T00:00:00" u="1"/>
        <d v="2025-07-08T00:00:00" u="1"/>
        <d v="2025-07-09T00:00:00" u="1"/>
        <d v="2025-07-10T00:00:00" u="1"/>
        <d v="2025-07-11T00:00:00" u="1"/>
        <d v="2025-07-14T00:00:00" u="1"/>
        <d v="2025-07-15T00:00:00" u="1"/>
        <d v="2025-07-16T00:00:00" u="1"/>
        <d v="2025-07-17T00:00:00" u="1"/>
        <d v="2025-07-18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6-02T00:00:00" u="1"/>
        <d v="2025-06-03T00:00:00" u="1"/>
        <d v="2025-06-04T00:00:00" u="1"/>
        <d v="2025-06-05T00:00:00" u="1"/>
        <d v="2025-06-06T00:00:00" u="1"/>
        <d v="2025-06-09T00:00:00" u="1"/>
        <d v="2025-06-10T00:00:00" u="1"/>
        <d v="2025-06-11T00:00:00" u="1"/>
        <d v="2025-06-12T00:00:00" u="1"/>
        <d v="2025-06-13T00:00:00" u="1"/>
        <d v="2025-06-16T00:00:00" u="1"/>
        <d v="2025-06-17T00:00:00" u="1"/>
        <d v="2025-06-18T00:00:00" u="1"/>
        <d v="2025-06-19T00:00:00" u="1"/>
        <d v="2025-06-20T00:00:00" u="1"/>
        <d v="2025-06-23T00:00:00" u="1"/>
        <d v="2025-06-24T00:00:00" u="1"/>
        <d v="2025-06-25T00:00:00" u="1"/>
        <d v="2025-06-26T00:00:00" u="1"/>
        <d v="2025-06-27T00:00:00" u="1"/>
        <d v="2025-06-30T00:00:00" u="1"/>
        <d v="2025-05-01T00:00:00" u="1"/>
        <d v="2025-05-05T00:00:00" u="1"/>
        <d v="2025-05-06T00:00:00" u="1"/>
        <d v="2025-05-07T00:00:00" u="1"/>
        <d v="2025-05-08T00:00:00" u="1"/>
        <d v="2025-05-09T00:00:00" u="1"/>
        <d v="2025-05-12T00:00:00" u="1"/>
        <d v="2025-05-13T00:00:00" u="1"/>
        <d v="2025-05-14T00:00:00" u="1"/>
        <d v="2025-05-15T00:00:00" u="1"/>
        <d v="2025-05-16T00:00:00" u="1"/>
        <d v="2025-05-19T00:00:00" u="1"/>
        <d v="2025-05-20T00:00:00" u="1"/>
        <d v="2025-05-21T00:00:00" u="1"/>
        <d v="2025-05-22T00:00:00" u="1"/>
        <d v="2025-05-26T00:00:00" u="1"/>
        <d v="2025-05-27T00:00:00" u="1"/>
        <d v="2025-05-28T00:00:00" u="1"/>
        <d v="2025-05-29T00:00:00" u="1"/>
        <d v="2025-05-30T00:00:00" u="1"/>
        <d v="2025-04-01T00:00:00" u="1"/>
        <d v="2025-04-02T00:00:00" u="1"/>
        <d v="2025-04-03T00:00:00" u="1"/>
        <d v="2025-04-04T00:00:00" u="1"/>
        <d v="2025-04-07T00:00:00" u="1"/>
        <d v="2025-04-08T00:00:00" u="1"/>
        <d v="2025-04-09T00:00:00" u="1"/>
        <d v="2025-04-10T00:00:00" u="1"/>
        <d v="2025-04-11T00:00:00" u="1"/>
        <d v="2025-04-14T00:00:00" u="1"/>
        <d v="2025-04-15T00:00:00" u="1"/>
        <d v="2025-04-16T00:00:00" u="1"/>
        <d v="2025-04-17T00:00:00" u="1"/>
        <d v="2025-04-21T00:00:00" u="1"/>
        <d v="2025-04-22T00:00:00" u="1"/>
        <d v="2025-04-23T00:00:00" u="1"/>
        <d v="2025-04-24T00:00:00" u="1"/>
        <d v="2025-04-25T00:00:00" u="1"/>
        <d v="2025-04-28T00:00:00" u="1"/>
        <d v="2025-04-29T00:00:00" u="1"/>
        <d v="2025-04-30T00:00:00" u="1"/>
        <d v="2025-03-05T00:00:00" u="1"/>
        <d v="2025-03-06T00:00:00" u="1"/>
        <d v="2025-03-07T00:00:00" u="1"/>
        <d v="2025-03-10T00:00:00" u="1"/>
        <d v="2025-03-11T00:00:00" u="1"/>
        <d v="2025-03-12T00:00:00" u="1"/>
        <d v="2025-03-13T00:00:00" u="1"/>
        <d v="2025-03-14T00:00:00" u="1"/>
        <d v="2025-03-17T00:00:00" u="1"/>
        <d v="2025-03-18T00:00:00" u="1"/>
        <d v="2025-03-19T00:00:00" u="1"/>
        <d v="2025-03-20T00:00:00" u="1"/>
        <d v="2025-03-21T00:00:00" u="1"/>
        <d v="2025-03-24T00:00:00" u="1"/>
        <d v="2025-03-25T00:00:00" u="1"/>
        <d v="2025-03-26T00:00:00" u="1"/>
        <d v="2025-03-27T00:00:00" u="1"/>
        <d v="2025-03-28T00:00:00" u="1"/>
        <d v="2025-03-31T00:00:00" u="1"/>
        <d v="2025-02-03T00:00:00" u="1"/>
        <d v="2025-02-04T00:00:00" u="1"/>
        <d v="2025-02-05T00:00:00" u="1"/>
        <d v="2025-02-06T00:00:00" u="1"/>
        <d v="2025-02-07T00:00:00" u="1"/>
        <d v="2025-02-10T00:00:00" u="1"/>
        <d v="2025-02-11T00:00:00" u="1"/>
        <d v="2025-02-12T00:00:00" u="1"/>
        <d v="2025-02-13T00:00:00" u="1"/>
        <d v="2025-02-14T00:00:00" u="1"/>
        <d v="2025-02-17T00:00:00" u="1"/>
        <d v="2025-02-18T00:00:00" u="1"/>
        <d v="2025-02-19T00:00:00" u="1"/>
        <d v="2025-02-20T00:00:00" u="1"/>
        <d v="2025-02-21T00:00:00" u="1"/>
        <d v="2025-02-24T00:00:00" u="1"/>
        <d v="2025-02-25T00:00:00" u="1"/>
        <d v="2025-02-26T00:00:00" u="1"/>
        <d v="2025-02-27T00:00:00" u="1"/>
        <d v="2025-02-28T00:00:00" u="1"/>
        <d v="2025-01-06T00:00:00" u="1"/>
        <d v="2025-01-07T00:00:00" u="1"/>
        <d v="2025-01-08T00:00:00" u="1"/>
        <d v="2025-01-09T00:00:00" u="1"/>
        <d v="2025-01-10T00:00:00" u="1"/>
        <d v="2025-01-13T00:00:00" u="1"/>
        <d v="2025-01-14T00:00:00" u="1"/>
        <d v="2025-01-15T00:00:00" u="1"/>
        <d v="2025-01-16T00:00:00" u="1"/>
        <d v="2025-01-17T00:00:00" u="1"/>
        <d v="2025-01-20T00:00:00" u="1"/>
        <d v="2025-01-21T00:00:00" u="1"/>
        <d v="2025-01-22T00:00:00" u="1"/>
        <d v="2025-01-23T00:00:00" u="1"/>
        <d v="2025-01-24T00:00:00" u="1"/>
        <d v="2025-01-27T00:00:00" u="1"/>
        <d v="2025-01-28T00:00:00" u="1"/>
        <d v="2025-01-29T00:00:00" u="1"/>
        <d v="2025-01-30T00:00:00" u="1"/>
        <d v="2025-01-31T00:00:00" u="1"/>
        <d v="2024-12-02T00:00:00" u="1"/>
        <d v="2024-12-03T00:00:00" u="1"/>
        <d v="2024-12-04T00:00:00" u="1"/>
        <d v="2024-12-05T00:00:00" u="1"/>
        <d v="2024-12-09T00:00:00" u="1"/>
        <d v="2024-12-10T00:00:00" u="1"/>
        <d v="2024-12-11T00:00:00" u="1"/>
        <d v="2024-12-12T00:00:00" u="1"/>
        <d v="2024-12-13T00:00:00" u="1"/>
        <d v="2024-12-16T00:00:00" u="1"/>
        <d v="2024-12-17T00:00:00" u="1"/>
        <d v="2024-12-18T00:00:00" u="1"/>
        <d v="2024-12-19T00:00:00" u="1"/>
        <d v="2024-12-20T00:00:00" u="1"/>
        <d v="2024-12-23T00:00:00" u="1"/>
        <d v="2024-12-24T00:00:00" u="1"/>
        <d v="2024-11-26T00:00:00" u="1"/>
        <d v="2024-12-27T00:00:00" u="1"/>
        <d v="2024-12-30T00:00:00" u="1"/>
        <d v="2024-12-31T00:00:00" u="1"/>
        <d v="2024-11-05T00:00:00" u="1"/>
        <d v="2024-11-06T00:00:00" u="1"/>
        <d v="2024-11-07T00:00:00" u="1"/>
        <d v="2024-11-08T00:00:00" u="1"/>
        <d v="2024-11-11T00:00:00" u="1"/>
        <d v="2024-11-12T00:00:00" u="1"/>
        <d v="2024-11-13T00:00:00" u="1"/>
        <d v="2024-11-14T00:00:00" u="1"/>
        <d v="2024-11-15T00:00:00" u="1"/>
        <d v="2024-11-18T00:00:00" u="1"/>
        <d v="2024-11-19T00:00:00" u="1"/>
        <d v="2024-11-20T00:00:00" u="1"/>
        <d v="2024-11-21T00:00:00" u="1"/>
        <d v="2024-11-22T00:00:00" u="1"/>
        <d v="2024-11-25T00:00:00" u="1"/>
        <d v="2024-11-27T00:00:00" u="1"/>
        <d v="2024-11-28T00:00:00" u="1"/>
        <d v="2024-11-29T00:00:00" u="1"/>
        <d v="2024-10-01T00:00:00" u="1"/>
        <d v="2024-10-02T00:00:00" u="1"/>
        <d v="2024-10-03T00:00:00" u="1"/>
        <d v="2024-10-04T00:00:00" u="1"/>
        <d v="2024-10-07T00:00:00" u="1"/>
        <d v="2024-10-08T00:00:00" u="1"/>
        <d v="2024-10-09T00:00:00" u="1"/>
        <d v="2024-10-10T00:00:00" u="1"/>
        <d v="2024-10-14T00:00:00" u="1"/>
        <d v="2024-10-15T00:00:00" u="1"/>
        <d v="2024-10-16T00:00:00" u="1"/>
        <d v="2024-10-17T00:00:00" u="1"/>
        <d v="2024-10-18T00:00:00" u="1"/>
        <d v="2024-10-21T00:00:00" u="1"/>
        <d v="2024-10-22T00:00:00" u="1"/>
        <d v="2024-10-23T00:00:00" u="1"/>
        <d v="2024-10-24T00:00:00" u="1"/>
        <d v="2024-10-25T00:00:00" u="1"/>
        <d v="2024-10-28T00:00:00" u="1"/>
        <d v="2024-10-29T00:00:00" u="1"/>
        <d v="2024-10-30T00:00:00" u="1"/>
        <d v="2024-10-31T00:00:00" u="1"/>
        <d v="2024-09-02T00:00:00" u="1"/>
        <d v="2024-09-03T00:00:00" u="1"/>
        <d v="2024-09-04T00:00:00" u="1"/>
        <d v="2024-09-05T00:00:00" u="1"/>
        <d v="2024-09-06T00:00:00" u="1"/>
        <d v="2024-09-09T00:00:00" u="1"/>
        <d v="2024-09-10T00:00:00" u="1"/>
        <d v="2024-09-11T00:00:00" u="1"/>
        <d v="2024-09-12T00:00:00" u="1"/>
        <d v="2024-09-13T00:00:00" u="1"/>
        <d v="2024-09-16T00:00:00" u="1"/>
        <d v="2024-09-17T00:00:00" u="1"/>
        <d v="2024-09-18T00:00:00" u="1"/>
        <d v="2024-09-19T00:00:00" u="1"/>
        <d v="2024-09-20T00:00:00" u="1"/>
        <d v="2024-09-23T00:00:00" u="1"/>
        <d v="2024-09-24T00:00:00" u="1"/>
        <d v="2024-09-25T00:00:00" u="1"/>
        <d v="2024-09-26T00:00:00" u="1"/>
        <d v="2024-09-27T00:00:00" u="1"/>
        <d v="2024-09-30T00:00:00" u="1"/>
        <d v="2024-08-01T00:00:00" u="1"/>
        <d v="2024-08-02T00:00:00" u="1"/>
        <d v="2024-08-05T00:00:00" u="1"/>
        <d v="2024-08-06T00:00:00" u="1"/>
        <d v="2024-08-07T00:00:00" u="1"/>
        <d v="2024-08-08T00:00:00" u="1"/>
        <d v="2024-08-12T00:00:00" u="1"/>
        <d v="2024-08-13T00:00:00" u="1"/>
        <d v="2024-08-14T00:00:00" u="1"/>
        <d v="2024-08-15T00:00:00" u="1"/>
        <d v="2024-08-16T00:00:00" u="1"/>
        <d v="2024-08-19T00:00:00" u="1"/>
        <d v="2024-08-20T00:00:00" u="1"/>
        <d v="2024-08-21T00:00:00" u="1"/>
        <d v="2024-08-22T00:00:00" u="1"/>
        <d v="2024-08-23T00:00:00" u="1"/>
        <d v="2024-08-26T00:00:00" u="1"/>
        <d v="2024-08-27T00:00:00" u="1"/>
        <d v="2024-08-28T00:00:00" u="1"/>
        <d v="2024-08-29T00:00:00" u="1"/>
        <d v="2024-08-30T00:00:00" u="1"/>
        <d v="2024-07-01T00:00:00" u="1"/>
        <d v="2024-07-02T00:00:00" u="1"/>
        <d v="2024-07-03T00:00:00" u="1"/>
        <d v="2024-07-04T00:00:00" u="1"/>
        <d v="2024-07-05T00:00:00" u="1"/>
        <d v="2024-07-08T00:00:00" u="1"/>
        <d v="2024-07-09T00:00:00" u="1"/>
        <d v="2024-07-10T00:00:00" u="1"/>
        <d v="2024-07-11T00:00:00" u="1"/>
        <d v="2024-07-12T00:00:00" u="1"/>
        <d v="2024-07-15T00:00:00" u="1"/>
        <d v="2024-07-16T00:00:00" u="1"/>
        <d v="2024-07-17T00:00:00" u="1"/>
        <d v="2024-07-18T00:00:00" u="1"/>
        <d v="2024-07-19T00:00:00" u="1"/>
        <d v="2024-07-22T00:00:00" u="1"/>
        <d v="2024-07-23T00:00:00" u="1"/>
        <d v="2024-07-24T00:00:00" u="1"/>
        <d v="2024-07-25T00:00:00" u="1"/>
        <d v="2024-07-26T00:00:00" u="1"/>
        <d v="2024-07-29T00:00:00" u="1"/>
        <d v="2024-07-30T00:00:00" u="1"/>
        <d v="2024-07-31T00:00:00" u="1"/>
        <d v="2024-06-03T00:00:00" u="1"/>
        <d v="2024-06-04T00:00:00" u="1"/>
        <d v="2024-06-05T00:00:00" u="1"/>
        <d v="2024-05-01T00:00:00" u="1"/>
        <d v="2024-05-02T00:00:00" u="1"/>
        <d v="2024-05-06T00:00:00" u="1"/>
        <d v="2024-05-07T00:00:00" u="1"/>
        <d v="2024-05-08T00:00:00" u="1"/>
        <d v="2024-05-09T00:00:00" u="1"/>
        <d v="2024-05-10T00:00:00" u="1"/>
        <d v="2024-05-13T00:00:00" u="1"/>
        <d v="2024-05-14T00:00:00" u="1"/>
        <d v="2024-05-15T00:00:00" u="1"/>
        <d v="2024-05-16T00:00:00" u="1"/>
        <d v="2024-05-17T00:00:00" u="1"/>
        <d v="2024-05-20T00:00:00" u="1"/>
        <d v="2024-05-21T00:00:00" u="1"/>
        <d v="2024-05-22T00:00:00" u="1"/>
        <d v="2024-05-23T00:00:00" u="1"/>
        <d v="2024-05-27T00:00:00" u="1"/>
        <d v="2024-05-28T00:00:00" u="1"/>
        <d v="2024-05-29T00:00:00" u="1"/>
        <d v="2024-05-30T00:00:00" u="1"/>
        <d v="2024-05-31T00:00:00" u="1"/>
        <d v="2024-04-01T00:00:00" u="1"/>
        <d v="2024-04-02T00:00:00" u="1"/>
        <d v="2024-04-03T00:00:00" u="1"/>
        <d v="2024-04-04T00:00:00" u="1"/>
        <d v="2024-04-05T00:00:00" u="1"/>
        <d v="2024-04-08T00:00:00" u="1"/>
        <d v="2024-04-09T00:00:00" u="1"/>
        <d v="2024-04-10T00:00:00" u="1"/>
        <d v="2024-04-11T00:00:00" u="1"/>
        <d v="2024-04-12T00:00:00" u="1"/>
        <d v="2024-04-15T00:00:00" u="1"/>
        <d v="2024-04-16T00:00:00" u="1"/>
        <d v="2024-04-17T00:00:00" u="1"/>
        <d v="2024-04-18T00:00:00" u="1"/>
        <d v="2024-04-19T00:00:00" u="1"/>
        <d v="2024-04-22T00:00:00" u="1"/>
        <d v="2024-04-23T00:00:00" u="1"/>
        <d v="2024-04-24T00:00:00" u="1"/>
        <d v="2024-04-25T00:00:00" u="1"/>
        <d v="2024-04-26T00:00:00" u="1"/>
        <d v="2024-04-29T00:00:00" u="1"/>
        <d v="2024-04-30T00:00:00" u="1"/>
        <d v="2024-03-01T00:00:00" u="1"/>
        <d v="2024-03-04T00:00:00" u="1"/>
        <d v="2024-03-05T00:00:00" u="1"/>
        <d v="2024-03-06T00:00:00" u="1"/>
        <d v="2024-03-07T00:00:00" u="1"/>
        <d v="2024-03-08T00:00:00" u="1"/>
        <d v="2024-03-11T00:00:00" u="1"/>
        <d v="2024-03-12T00:00:00" u="1"/>
        <d v="2024-03-13T00:00:00" u="1"/>
        <d v="2024-03-14T00:00:00" u="1"/>
        <d v="2024-03-15T00:00:00" u="1"/>
        <d v="2024-03-18T00:00:00" u="1"/>
        <d v="2024-03-19T00:00:00" u="1"/>
        <d v="2024-03-20T00:00:00" u="1"/>
        <d v="2024-03-21T00:00:00" u="1"/>
        <d v="2024-03-22T00:00:00" u="1"/>
        <d v="2024-03-25T00:00:00" u="1"/>
        <d v="2024-03-26T00:00:00" u="1"/>
        <d v="2024-03-27T00:00:00" u="1"/>
        <d v="2024-03-28T00:00:00" u="1"/>
        <d v="2024-02-01T00:00:00" u="1"/>
        <d v="2024-02-02T00:00:00" u="1"/>
        <d v="2024-02-05T00:00:00" u="1"/>
        <d v="2024-02-06T00:00:00" u="1"/>
        <d v="2024-02-07T00:00:00" u="1"/>
        <d v="2024-02-08T00:00:00" u="1"/>
        <d v="2024-02-09T00:00:00" u="1"/>
        <d v="2024-02-14T00:00:00" u="1"/>
        <d v="2024-02-15T00:00:00" u="1"/>
        <d v="2024-02-16T00:00:00" u="1"/>
        <d v="2024-02-19T00:00:00" u="1"/>
        <d v="2024-02-20T00:00:00" u="1"/>
        <d v="2024-02-21T00:00:00" u="1"/>
        <d v="2024-02-22T00:00:00" u="1"/>
        <d v="2024-02-23T00:00:00" u="1"/>
        <d v="2024-02-26T00:00:00" u="1"/>
        <d v="2024-02-27T00:00:00" u="1"/>
        <d v="2024-02-28T00:00:00" u="1"/>
        <d v="2024-02-29T00:00:00" u="1"/>
        <d v="2024-01-02T00:00:00" u="1"/>
        <d v="2024-01-03T00:00:00" u="1"/>
        <d v="2024-01-04T00:00:00" u="1"/>
        <d v="2024-01-05T00:00:00" u="1"/>
        <d v="2024-01-08T00:00:00" u="1"/>
        <d v="2024-01-09T00:00:00" u="1"/>
        <d v="2024-01-10T00:00:00" u="1"/>
        <d v="2024-01-11T00:00:00" u="1"/>
        <d v="2024-01-12T00:00:00" u="1"/>
        <d v="2024-01-15T00:00:00" u="1"/>
        <d v="2024-01-16T00:00:00" u="1"/>
        <d v="2024-01-17T00:00:00" u="1"/>
        <d v="2024-01-18T00:00:00" u="1"/>
        <d v="2024-01-19T00:00:00" u="1"/>
        <d v="2024-01-22T00:00:00" u="1"/>
        <d v="2024-01-23T00:00:00" u="1"/>
        <d v="2024-01-24T00:00:00" u="1"/>
        <d v="2024-01-25T00:00:00" u="1"/>
        <d v="2024-01-26T00:00:00" u="1"/>
        <d v="2024-01-29T00:00:00" u="1"/>
        <d v="2024-01-30T00:00:00" u="1"/>
        <d v="2024-01-31T00:00:00" u="1"/>
        <d v="2023-01-01T00:00:00" u="1"/>
        <d v="2023-12-01T00:00:00" u="1"/>
        <d v="2023-12-04T00:00:00" u="1"/>
        <d v="2023-12-05T00:00:00" u="1"/>
        <d v="2023-12-06T00:00:00" u="1"/>
        <d v="2023-12-07T00:00:00" u="1"/>
        <d v="2023-12-08T00:00:00" u="1"/>
        <d v="2023-12-11T00:00:00" u="1"/>
        <d v="2023-12-12T00:00:00" u="1"/>
        <d v="2023-12-13T00:00:00" u="1"/>
        <d v="2023-12-14T00:00:00" u="1"/>
        <d v="2023-12-15T00:00:00" u="1"/>
        <d v="2023-12-18T00:00:00" u="1"/>
        <d v="2023-12-19T00:00:00" u="1"/>
        <d v="2023-12-20T00:00:00" u="1"/>
        <d v="2023-12-21T00:00:00" u="1"/>
        <d v="2023-12-22T00:00:00" u="1"/>
        <d v="2023-12-26T00:00:00" u="1"/>
        <d v="2023-12-27T00:00:00" u="1"/>
        <d v="2023-12-28T00:00:00" u="1"/>
        <d v="2023-12-29T00:00:00" u="1"/>
        <d v="2023-11-01T00:00:00" u="1"/>
        <d v="2023-11-06T00:00:00" u="1"/>
        <d v="2023-11-07T00:00:00" u="1"/>
        <d v="2023-11-08T00:00:00" u="1"/>
        <d v="2023-11-09T00:00:00" u="1"/>
        <d v="2023-11-10T00:00:00" u="1"/>
        <d v="2023-11-13T00:00:00" u="1"/>
        <d v="2023-11-14T00:00:00" u="1"/>
        <d v="2023-11-15T00:00:00" u="1"/>
        <d v="2023-11-16T00:00:00" u="1"/>
        <d v="2023-11-17T00:00:00" u="1"/>
        <d v="2023-11-20T00:00:00" u="1"/>
        <d v="2023-11-21T00:00:00" u="1"/>
        <d v="2023-11-22T00:00:00" u="1"/>
        <d v="2023-11-23T00:00:00" u="1"/>
        <d v="2023-11-24T00:00:00" u="1"/>
        <d v="2023-11-27T00:00:00" u="1"/>
        <d v="2023-11-28T00:00:00" u="1"/>
        <d v="2023-11-29T00:00:00" u="1"/>
        <d v="2023-11-30T00:00:00" u="1"/>
        <d v="2023-10-02T00:00:00" u="1"/>
        <d v="2023-10-03T00:00:00" u="1"/>
        <d v="2023-10-04T00:00:00" u="1"/>
        <d v="2023-10-05T00:00:00" u="1"/>
        <d v="2023-10-06T00:00:00" u="1"/>
        <d v="2023-10-10T00:00:00" u="1"/>
        <d v="2023-10-11T00:00:00" u="1"/>
        <d v="2023-10-12T00:00:00" u="1"/>
        <d v="2023-10-13T00:00:00" u="1"/>
        <d v="2023-10-16T00:00:00" u="1"/>
        <d v="2023-10-17T00:00:00" u="1"/>
        <d v="2023-10-18T00:00:00" u="1"/>
        <d v="2023-10-19T00:00:00" u="1"/>
        <d v="2023-10-20T00:00:00" u="1"/>
        <d v="2023-10-23T00:00:00" u="1"/>
        <d v="2023-10-24T00:00:00" u="1"/>
        <d v="2023-10-25T00:00:00" u="1"/>
        <d v="2023-10-26T00:00:00" u="1"/>
        <d v="2023-10-27T00:00:00" u="1"/>
        <d v="2023-10-30T00:00:00" u="1"/>
        <d v="2023-10-31T00:00:00" u="1"/>
        <d v="2023-09-01T00:00:00" u="1"/>
        <d v="2023-09-04T00:00:00" u="1"/>
        <d v="2023-09-05T00:00:00" u="1"/>
        <d v="2023-09-06T00:00:00" u="1"/>
        <d v="2023-09-07T00:00:00" u="1"/>
        <d v="2023-09-08T00:00:00" u="1"/>
        <d v="2023-09-11T00:00:00" u="1"/>
        <d v="2023-09-12T00:00:00" u="1"/>
        <d v="2023-09-13T00:00:00" u="1"/>
        <d v="2023-09-14T00:00:00" u="1"/>
        <d v="2023-09-15T00:00:00" u="1"/>
        <d v="2023-09-18T00:00:00" u="1"/>
        <d v="2023-09-19T00:00:00" u="1"/>
        <d v="2023-09-20T00:00:00" u="1"/>
        <d v="2023-09-21T00:00:00" u="1"/>
        <d v="2023-09-22T00:00:00" u="1"/>
        <d v="2023-09-25T00:00:00" u="1"/>
        <d v="2023-09-26T00:00:00" u="1"/>
        <d v="2023-09-27T00:00:00" u="1"/>
        <d v="2023-09-28T00:00:00" u="1"/>
        <d v="2023-09-29T00:00:00" u="1"/>
        <d v="2023-08-01T00:00:00" u="1"/>
        <d v="2023-08-02T00:00:00" u="1"/>
        <d v="2023-08-03T00:00:00" u="1"/>
        <d v="2023-08-04T00:00:00" u="1"/>
        <d v="2023-08-07T00:00:00" u="1"/>
        <d v="2023-08-08T00:00:00" u="1"/>
        <d v="2023-08-09T00:00:00" u="1"/>
        <d v="2023-08-10T00:00:00" u="1"/>
        <d v="2023-08-14T00:00:00" u="1"/>
        <d v="2023-08-15T00:00:00" u="1"/>
        <d v="2023-08-16T00:00:00" u="1"/>
        <d v="2023-08-17T00:00:00" u="1"/>
        <d v="2023-08-18T00:00:00" u="1"/>
        <d v="2023-08-21T00:00:00" u="1"/>
        <d v="2023-08-22T00:00:00" u="1"/>
        <d v="2023-08-23T00:00:00" u="1"/>
        <d v="2023-08-24T00:00:00" u="1"/>
        <d v="2023-08-25T00:00:00" u="1"/>
        <d v="2023-08-28T00:00:00" u="1"/>
        <d v="2023-08-29T00:00:00" u="1"/>
        <d v="2023-08-30T00:00:00" u="1"/>
        <d v="2023-08-31T00:00:00" u="1"/>
        <d v="2023-07-03T00:00:00" u="1"/>
        <d v="2023-07-04T00:00:00" u="1"/>
        <d v="2023-07-05T00:00:00" u="1"/>
        <d v="2023-07-06T00:00:00" u="1"/>
        <d v="2023-07-07T00:00:00" u="1"/>
        <d v="2023-07-10T00:00:00" u="1"/>
        <d v="2023-07-11T00:00:00" u="1"/>
        <d v="2023-07-12T00:00:00" u="1"/>
        <d v="2023-07-13T00:00:00" u="1"/>
        <d v="2023-07-14T00:00:00" u="1"/>
        <d v="2023-07-17T00:00:00" u="1"/>
        <d v="2023-07-18T00:00:00" u="1"/>
        <d v="2023-07-19T00:00:00" u="1"/>
        <d v="2023-07-20T00:00:00" u="1"/>
        <d v="2023-07-21T00:00:00" u="1"/>
        <d v="2023-07-24T00:00:00" u="1"/>
        <d v="2023-07-25T00:00:00" u="1"/>
        <d v="2023-07-26T00:00:00" u="1"/>
        <d v="2023-07-27T00:00:00" u="1"/>
        <d v="2023-07-28T00:00:00" u="1"/>
        <d v="2023-07-31T00:00:00" u="1"/>
        <d v="2022-11-18T00:00:00" u="1"/>
        <d v="2023-03-09T00:00:00" u="1"/>
        <d v="2022-05-19T00:00:00" u="1"/>
        <d v="2022-12-23T00:00:00" u="1"/>
        <d v="2023-02-23T00:00:00" u="1"/>
        <d v="2023-04-14T00:00:00" u="1"/>
        <d v="2023-06-05T00:00:00" u="1"/>
        <d v="2023-03-28T00:00:00" u="1"/>
        <d v="2023-05-19T00:00:00" u="1"/>
        <d v="2022-11-11T00:00:00" u="1"/>
        <d v="2023-03-02T00:00:00" u="1"/>
        <d v="2022-05-12T00:00:00" u="1"/>
        <d v="2022-12-16T00:00:00" u="1"/>
        <d v="2023-02-16T00:00:00" u="1"/>
        <d v="2023-04-07T00:00:00" u="1"/>
        <d v="2022-11-30T00:00:00" u="1"/>
        <d v="2023-03-21T00:00:00" u="1"/>
        <d v="2023-05-12T00:00:00" u="1"/>
        <d v="2023-04-26T00:00:00" u="1"/>
        <d v="2022-05-05T00:00:00" u="1"/>
        <d v="2022-12-09T00:00:00" u="1"/>
        <d v="2023-02-09T00:00:00" u="1"/>
        <d v="2023-05-31T00:00:00" u="1"/>
        <d v="2022-11-23T00:00:00" u="1"/>
        <d v="2023-03-14T00:00:00" u="1"/>
        <d v="2023-05-05T00:00:00" u="1"/>
        <d v="2022-12-28T00:00:00" u="1"/>
        <d v="2023-02-28T00:00:00" u="1"/>
        <d v="2023-04-19T00:00:00" u="1"/>
        <d v="2022-12-02T00:00:00" u="1"/>
        <d v="2023-02-02T00:00:00" u="1"/>
        <d v="2023-05-24T00:00:00" u="1"/>
        <d v="2022-11-16T00:00:00" u="1"/>
        <d v="2023-03-07T00:00:00" u="1"/>
        <d v="2023-06-29T00:00:00" u="1"/>
        <d v="2022-05-17T00:00:00" u="1"/>
        <d v="2022-12-21T00:00:00" u="1"/>
        <d v="2023-04-12T00:00:00" u="1"/>
        <d v="2023-05-17T00:00:00" u="1"/>
        <d v="2022-11-09T00:00:00" u="1"/>
        <d v="2023-06-22T00:00:00" u="1"/>
        <d v="2022-05-10T00:00:00" u="1"/>
        <d v="2022-12-14T00:00:00" u="1"/>
        <d v="2023-02-14T00:00:00" u="1"/>
        <d v="2023-04-05T00:00:00" u="1"/>
        <d v="2022-11-28T00:00:00" u="1"/>
        <d v="2023-05-10T00:00:00" u="1"/>
        <d v="2022-11-02T00:00:00" u="1"/>
        <d v="2023-04-24T00:00:00" u="1"/>
        <d v="2023-06-15T00:00:00" u="1"/>
        <d v="2022-05-03T00:00:00" u="1"/>
        <d v="2022-12-07T00:00:00" u="1"/>
        <d v="2023-02-07T00:00:00" u="1"/>
        <d v="2023-05-29T00:00:00" u="1"/>
        <d v="2022-11-21T00:00:00" u="1"/>
        <d v="2023-05-03T00:00:00" u="1"/>
        <d v="2023-04-17T00:00:00" u="1"/>
        <d v="2023-06-08T00:00:00" u="1"/>
        <d v="2023-03-31T00:00:00" u="1"/>
        <d v="2023-05-22T00:00:00" u="1"/>
        <d v="2022-11-14T00:00:00" u="1"/>
        <d v="2023-06-27T00:00:00" u="1"/>
        <d v="2022-05-15T00:00:00" u="1"/>
        <d v="2022-12-19T00:00:00" u="1"/>
        <d v="2023-04-10T00:00:00" u="1"/>
        <d v="2023-06-01T00:00:00" u="1"/>
        <d v="2023-03-24T00:00:00" u="1"/>
        <d v="2023-05-15T00:00:00" u="1"/>
        <d v="2022-11-07T00:00:00" u="1"/>
        <d v="2023-06-20T00:00:00" u="1"/>
        <d v="2022-05-08T00:00:00" u="1"/>
        <d v="2022-12-12T00:00:00" u="1"/>
        <d v="2023-04-03T00:00:00" u="1"/>
        <d v="2023-03-17T00:00:00" u="1"/>
        <d v="2023-05-08T00:00:00" u="1"/>
        <d v="2023-06-13T00:00:00" u="1"/>
        <d v="2023-03-10T00:00:00" u="1"/>
        <d v="2023-02-24T00:00:00" u="1"/>
        <d v="2023-06-06T00:00:00" u="1"/>
        <d v="2023-03-29T00:00:00" u="1"/>
        <d v="2023-03-03T00:00:00" u="1"/>
        <d v="2022-05-13T00:00:00" u="1"/>
        <d v="2023-02-17T00:00:00" u="1"/>
        <d v="2023-03-22T00:00:00" u="1"/>
        <d v="2023-05-13T00:00:00" u="1"/>
        <d v="2023-04-27T00:00:00" u="1"/>
        <d v="2023-02-10T00:00:00" u="1"/>
        <d v="2022-11-24T00:00:00" u="1"/>
        <d v="2023-03-15T00:00:00" u="1"/>
        <d v="2022-12-29T00:00:00" u="1"/>
        <d v="2023-04-20T00:00:00" u="1"/>
        <d v="2023-02-03T00:00:00" u="1"/>
        <d v="2023-05-25T00:00:00" u="1"/>
        <d v="2022-11-17T00:00:00" u="1"/>
        <d v="2023-03-08T00:00:00" u="1"/>
        <d v="2023-06-30T00:00:00" u="1"/>
        <d v="2022-05-18T00:00:00" u="1"/>
        <d v="2022-12-22T00:00:00" u="1"/>
        <d v="2023-02-22T00:00:00" u="1"/>
        <d v="2023-04-13T00:00:00" u="1"/>
        <d v="2023-03-27T00:00:00" u="1"/>
        <d v="2023-05-18T00:00:00" u="1"/>
        <d v="2022-11-10T00:00:00" u="1"/>
        <d v="2023-03-01T00:00:00" u="1"/>
        <d v="2023-06-23T00:00:00" u="1"/>
        <d v="2022-05-11T00:00:00" u="1"/>
        <d v="2022-12-15T00:00:00" u="1"/>
        <d v="2023-02-15T00:00:00" u="1"/>
        <d v="2023-04-06T00:00:00" u="1"/>
        <d v="2022-11-29T00:00:00" u="1"/>
        <d v="2023-03-20T00:00:00" u="1"/>
        <d v="2023-05-11T00:00:00" u="1"/>
        <d v="2023-04-25T00:00:00" u="1"/>
        <d v="2023-06-16T00:00:00" u="1"/>
        <d v="2022-05-04T00:00:00" u="1"/>
        <d v="2022-12-08T00:00:00" u="1"/>
        <d v="2023-02-08T00:00:00" u="1"/>
        <d v="2023-05-30T00:00:00" u="1"/>
        <d v="2022-11-22T00:00:00" u="1"/>
        <d v="2023-03-13T00:00:00" u="1"/>
        <d v="2023-05-04T00:00:00" u="1"/>
        <d v="2022-12-27T00:00:00" u="1"/>
        <d v="2023-02-27T00:00:00" u="1"/>
        <d v="2023-04-18T00:00:00" u="1"/>
        <d v="2023-06-09T00:00:00" u="1"/>
        <d v="2022-12-01T00:00:00" u="1"/>
        <d v="2023-02-01T00:00:00" u="1"/>
        <d v="2023-05-23T00:00:00" u="1"/>
        <d v="2022-11-15T00:00:00" u="1"/>
        <d v="2023-03-06T00:00:00" u="1"/>
        <d v="2023-06-28T00:00:00" u="1"/>
        <d v="2022-05-16T00:00:00" u="1"/>
        <d v="2022-12-20T00:00:00" u="1"/>
        <d v="2023-04-11T00:00:00" u="1"/>
        <d v="2023-06-02T00:00:00" u="1"/>
        <d v="2023-05-16T00:00:00" u="1"/>
        <d v="2022-11-08T00:00:00" u="1"/>
        <d v="2023-06-21T00:00:00" u="1"/>
        <d v="2022-05-09T00:00:00" u="1"/>
        <d v="2022-12-13T00:00:00" u="1"/>
        <d v="2023-02-13T00:00:00" u="1"/>
        <d v="2023-04-04T00:00:00" u="1"/>
        <d v="2023-05-09T00:00:00" u="1"/>
        <d v="2022-11-01T00:00:00" u="1"/>
        <d v="2023-06-14T00:00:00" u="1"/>
        <d v="2022-05-02T00:00:00" u="1"/>
        <d v="2022-12-06T00:00:00" u="1"/>
        <d v="2023-02-06T00:00:00" u="1"/>
        <d v="2023-05-02T00:00:00" u="1"/>
        <d v="2023-06-07T00:00:00" u="1"/>
        <d v="2023-03-30T00:00:00" u="1"/>
        <d v="2023-06-26T00:00:00" u="1"/>
        <d v="2022-05-14T00:00:00" u="1"/>
        <d v="2023-03-23T00:00:00" u="1"/>
        <d v="2023-05-14T00:00:00" u="1"/>
        <d v="2023-04-28T00:00:00" u="1"/>
        <d v="2023-06-19T00:00:00" u="1"/>
        <d v="2022-11-25T00:00:00" u="1"/>
        <d v="2023-03-16T00:00:00" u="1"/>
        <d v="2022-12-30T00:00:00" u="1"/>
        <d v="2023-04-21T00:00:00" u="1"/>
        <d v="2023-06-12T00:00:00" u="1"/>
      </sharedItems>
    </cacheField>
    <cacheField name="Horas" numFmtId="0">
      <sharedItems containsString="0" containsBlank="1" containsNumber="1" minValue="0.25" maxValue="4.75"/>
    </cacheField>
    <cacheField name="Tipo Hora" numFmtId="0">
      <sharedItems containsBlank="1" count="4">
        <s v="HN"/>
        <m u="1"/>
        <s v="HE" u="1"/>
        <s v="H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n v="1"/>
    <s v="Célula Shield Seguros"/>
    <s v="Shield Seguros Daily"/>
    <x v="0"/>
    <n v="0.25"/>
    <x v="0"/>
  </r>
  <r>
    <n v="2"/>
    <s v="Célula Atómicos"/>
    <s v="Atómicos Daily"/>
    <x v="0"/>
    <n v="0.5"/>
    <x v="0"/>
  </r>
  <r>
    <n v="3"/>
    <s v="Célula Shield Seguros"/>
    <s v="Sync | revisión figma | FE - UX"/>
    <x v="0"/>
    <n v="0.25"/>
    <x v="0"/>
  </r>
  <r>
    <n v="4"/>
    <s v="Célula Shield Seguros"/>
    <s v="Sync | revisión iniciativas | FE - ARQ"/>
    <x v="0"/>
    <n v="2"/>
    <x v="0"/>
  </r>
  <r>
    <n v="5"/>
    <s v="Célula Shield Seguros"/>
    <s v="Sync | revisión novedades | FE - QA"/>
    <x v="0"/>
    <n v="0.5"/>
    <x v="0"/>
  </r>
  <r>
    <n v="6"/>
    <s v="Célula Shield Seguros"/>
    <s v="desarrollo | refactorización | web.social.pichincha"/>
    <x v="0"/>
    <n v="2.5"/>
    <x v="0"/>
  </r>
  <r>
    <n v="7"/>
    <s v="Célula Shield Seguros"/>
    <s v="desarrollo | refactorización | monorepo.pichincha"/>
    <x v="0"/>
    <n v="2"/>
    <x v="0"/>
  </r>
  <r>
    <n v="8"/>
    <s v="Célula Shield Seguros"/>
    <s v="Shield Seguros Daily"/>
    <x v="1"/>
    <n v="0.25"/>
    <x v="0"/>
  </r>
  <r>
    <n v="9"/>
    <s v="Célula Shield Seguros"/>
    <s v="Atómicos Daily"/>
    <x v="1"/>
    <n v="0.25"/>
    <x v="0"/>
  </r>
  <r>
    <n v="10"/>
    <s v="Célula Shield Seguros"/>
    <s v="Revisión de seguridad - Embedx (sesion)"/>
    <x v="1"/>
    <n v="1"/>
    <x v="0"/>
  </r>
  <r>
    <n v="11"/>
    <s v="Célula Shield Seguros"/>
    <s v="Sync | revisión puntos de matriz | FE - ARQ - DEV(BP)"/>
    <x v="1"/>
    <n v="0.25"/>
    <x v="0"/>
  </r>
  <r>
    <n v="12"/>
    <s v="Célula Shield Seguros"/>
    <s v="Revisión final puntos de matriz de riesgo (sesion)"/>
    <x v="1"/>
    <n v="0.5"/>
    <x v="0"/>
  </r>
  <r>
    <n v="13"/>
    <s v="Célula Shield Seguros"/>
    <s v="Sync | revisión social mail | FE - BE - QA"/>
    <x v="1"/>
    <n v="0.5"/>
    <x v="0"/>
  </r>
  <r>
    <n v="14"/>
    <s v="Célula Shield Seguros"/>
    <s v="Shield Seguros Refinamiento"/>
    <x v="1"/>
    <n v="0.5"/>
    <x v="0"/>
  </r>
  <r>
    <n v="15"/>
    <s v="Célula Shield Seguros"/>
    <s v="Sync | revisión iniciativas | FE - ARQ"/>
    <x v="1"/>
    <n v="0.75"/>
    <x v="0"/>
  </r>
  <r>
    <n v="16"/>
    <s v="Célula Shield Seguros"/>
    <s v="Sync | revisión figma | FE - UX"/>
    <x v="1"/>
    <n v="0.25"/>
    <x v="0"/>
  </r>
  <r>
    <n v="17"/>
    <s v="Célula Shield Seguros"/>
    <s v="Sync | revisión novedades | FE - QA(A)"/>
    <x v="1"/>
    <n v="0.5"/>
    <x v="0"/>
  </r>
  <r>
    <n v="18"/>
    <s v="Célula Shield Seguros"/>
    <s v="Revisemos Observaciones Matriz de Riesgos (sesion)"/>
    <x v="1"/>
    <n v="2.25"/>
    <x v="0"/>
  </r>
  <r>
    <n v="19"/>
    <s v="Célula Shield Seguros"/>
    <s v="desarrollo | refactorización | web.social.pichincha"/>
    <x v="1"/>
    <n v="1"/>
    <x v="0"/>
  </r>
  <r>
    <n v="20"/>
    <s v="Célula Shield Seguros"/>
    <s v="Shield Seguros Daily"/>
    <x v="2"/>
    <n v="0.25"/>
    <x v="0"/>
  </r>
  <r>
    <n v="21"/>
    <s v="Célula Atómicos"/>
    <s v="Atómicos Daily"/>
    <x v="2"/>
    <n v="0.25"/>
    <x v="0"/>
  </r>
  <r>
    <n v="22"/>
    <s v="Célula Shield Seguros"/>
    <s v="Pase a prod | nueva landing exequial - fraudes (sesion)"/>
    <x v="2"/>
    <n v="2.75"/>
    <x v="0"/>
  </r>
  <r>
    <n v="23"/>
    <s v="Célula Shield Seguros"/>
    <s v="Sync | revisión de arquitectura monorepo | FE - FE(A)"/>
    <x v="2"/>
    <n v="1.25"/>
    <x v="0"/>
  </r>
  <r>
    <n v="24"/>
    <s v="Célula Shield Seguros"/>
    <s v="revisión entorno no productivo - hub seguros (sesion)"/>
    <x v="2"/>
    <n v="0.75"/>
    <x v="0"/>
  </r>
  <r>
    <n v="25"/>
    <s v="Célula Shield Seguros"/>
    <s v="Revisión activos digitales Hub Seguros (sesion)"/>
    <x v="2"/>
    <n v="0.75"/>
    <x v="0"/>
  </r>
  <r>
    <n v="26"/>
    <s v="Célula Shield Seguros"/>
    <s v="desarrollo | refactorización | web.social.pichincha"/>
    <x v="2"/>
    <n v="2"/>
    <x v="0"/>
  </r>
  <r>
    <n v="27"/>
    <s v="Célula Shield Seguros"/>
    <s v="Shield Seguros Daily"/>
    <x v="3"/>
    <n v="0.25"/>
    <x v="0"/>
  </r>
  <r>
    <n v="28"/>
    <s v="Célula Atómicos"/>
    <s v="Atómicos Daily"/>
    <x v="3"/>
    <n v="0.5"/>
    <x v="0"/>
  </r>
  <r>
    <n v="29"/>
    <s v="Célula Shield Seguros"/>
    <s v="Sync | revisión hub | FE - BE - BE(A) - QA(A)"/>
    <x v="3"/>
    <n v="0.5"/>
    <x v="0"/>
  </r>
  <r>
    <n v="30"/>
    <s v="Célula Shield Seguros"/>
    <s v="Sync | revisión hub | FE - FT(A) - BE - ARQ"/>
    <x v="3"/>
    <n v="0.75"/>
    <x v="0"/>
  </r>
  <r>
    <n v="31"/>
    <s v="Célula Shield Seguros"/>
    <s v="revisión novedades (sesion)"/>
    <x v="3"/>
    <n v="2.5"/>
    <x v="0"/>
  </r>
  <r>
    <n v="32"/>
    <s v="Célula Shield Seguros"/>
    <s v="Sync | revisión aprobación qa | FE - QA - QA(A)"/>
    <x v="3"/>
    <n v="0.25"/>
    <x v="0"/>
  </r>
  <r>
    <n v="33"/>
    <s v="Célula Shield Seguros"/>
    <s v="desarrollo | incorporación de componente mail | web.social.pichincha"/>
    <x v="3"/>
    <n v="3.25"/>
    <x v="0"/>
  </r>
  <r>
    <n v="34"/>
    <s v="Célula Shield Seguros"/>
    <s v="Shield Seguros Daily"/>
    <x v="4"/>
    <n v="0.5"/>
    <x v="0"/>
  </r>
  <r>
    <n v="35"/>
    <s v="Célula Shield Seguros"/>
    <s v="Atómicos Daily"/>
    <x v="4"/>
    <n v="0.5"/>
    <x v="0"/>
  </r>
  <r>
    <n v="36"/>
    <s v="Célula Shield Seguros"/>
    <s v="Syn | revisión de iniciativas | FE - ARQ"/>
    <x v="4"/>
    <n v="1"/>
    <x v="0"/>
  </r>
  <r>
    <n v="37"/>
    <s v="Célula Shield Seguros"/>
    <s v="Pruebas CMB Seguros (sesion)"/>
    <x v="4"/>
    <n v="1.25"/>
    <x v="0"/>
  </r>
  <r>
    <n v="38"/>
    <s v="Célula Shield Seguros"/>
    <s v="desarrollo | mejoras de sesión en asistido | monorepo.pichincha"/>
    <x v="4"/>
    <n v="3.25"/>
    <x v="0"/>
  </r>
  <r>
    <n v="39"/>
    <s v="Célula Shield Seguros"/>
    <s v="desarrollo | actualización de scripts odd | transversal"/>
    <x v="4"/>
    <n v="1.5"/>
    <x v="0"/>
  </r>
  <r>
    <n v="40"/>
    <s v="Célula Shield Seguros"/>
    <s v="Shield Seguros Daily"/>
    <x v="5"/>
    <n v="0.25"/>
    <x v="0"/>
  </r>
  <r>
    <n v="41"/>
    <s v="Célula Atómicos"/>
    <s v="Atómicos Daily"/>
    <x v="5"/>
    <n v="0.25"/>
    <x v="0"/>
  </r>
  <r>
    <n v="42"/>
    <s v="Célula Shield Seguros"/>
    <s v="Sync | revisión figma | FE - QA - UI - UX"/>
    <x v="5"/>
    <n v="0.5"/>
    <x v="0"/>
  </r>
  <r>
    <n v="43"/>
    <s v="Célula Shield Seguros"/>
    <s v="Revisión arquitectura front-end EVA (sesion)"/>
    <x v="5"/>
    <n v="2"/>
    <x v="0"/>
  </r>
  <r>
    <n v="44"/>
    <s v="Célula Shield Seguros"/>
    <s v="Pase a prod | CMB mail (sesion)"/>
    <x v="5"/>
    <n v="0.75"/>
    <x v="0"/>
  </r>
  <r>
    <n v="45"/>
    <s v="Célula Shield Seguros"/>
    <s v="Sync | revisión iniciativas | FE - BE - ARQ"/>
    <x v="5"/>
    <n v="0.5"/>
    <x v="0"/>
  </r>
  <r>
    <n v="46"/>
    <s v="Célula Shield Seguros"/>
    <s v="Sync | revisión hub | FE - FE(A)"/>
    <x v="5"/>
    <n v="0.25"/>
    <x v="0"/>
  </r>
  <r>
    <n v="47"/>
    <s v="Célula Shield Seguros"/>
    <s v="desarrollo | mejoras de sesión en asistido | monorepo.pichincha"/>
    <x v="5"/>
    <n v="2"/>
    <x v="0"/>
  </r>
  <r>
    <n v="48"/>
    <s v="Célula Shield Seguros"/>
    <s v="desarrollo | refactorización - subscription - life_health | monorepo.pichincha"/>
    <x v="5"/>
    <n v="1.5"/>
    <x v="0"/>
  </r>
  <r>
    <n v="49"/>
    <s v="Célula Shield Seguros"/>
    <s v="Shield Seguros Daily"/>
    <x v="6"/>
    <n v="0.25"/>
    <x v="0"/>
  </r>
  <r>
    <n v="50"/>
    <s v="Célula Atómicos"/>
    <s v="Atómicos Daily"/>
    <x v="6"/>
    <n v="0.5"/>
    <x v="0"/>
  </r>
  <r>
    <n v="51"/>
    <s v="Célula Shield Seguros"/>
    <s v="Shield Seguros Refinamiento"/>
    <x v="6"/>
    <n v="0.75"/>
    <x v="0"/>
  </r>
  <r>
    <n v="52"/>
    <s v="Célula Shield Seguros"/>
    <s v="Sync | revisión iniciativas | FE - FE(A) - BE - ARQ"/>
    <x v="6"/>
    <n v="1.75"/>
    <x v="0"/>
  </r>
  <r>
    <n v="53"/>
    <s v="Célula Shield Seguros"/>
    <s v="Sync | revisión mejoras en asistido | FE - QA - QA(A) - ARQ"/>
    <x v="6"/>
    <n v="1"/>
    <x v="0"/>
  </r>
  <r>
    <n v="54"/>
    <s v="Célula Shield Seguros"/>
    <s v="Shield Seguros Refinamiento"/>
    <x v="6"/>
    <n v="0.75"/>
    <x v="0"/>
  </r>
  <r>
    <n v="55"/>
    <s v="Célula Shield Seguros"/>
    <s v="desarrollo | refactorización - landing - total_family_funeral | monorepo.pichincha"/>
    <x v="6"/>
    <n v="3"/>
    <x v="0"/>
  </r>
  <r>
    <n v="56"/>
    <s v="Célula Shield Seguros"/>
    <s v="Shield Seguros Daily"/>
    <x v="7"/>
    <n v="0.25"/>
    <x v="0"/>
  </r>
  <r>
    <n v="57"/>
    <s v="Célula Atómicos"/>
    <s v="Atómicos Daily"/>
    <x v="7"/>
    <n v="0.25"/>
    <x v="0"/>
  </r>
  <r>
    <n v="58"/>
    <s v="Célula Shield Seguros"/>
    <s v="Revisión de test A/B (sesion)"/>
    <x v="7"/>
    <n v="1.75"/>
    <x v="0"/>
  </r>
  <r>
    <n v="59"/>
    <s v="Célula Shield Seguros"/>
    <s v="Pruebas Consumo API Nova BP y Flujo Venta Integrada (sesion)"/>
    <x v="7"/>
    <n v="1.5"/>
    <x v="0"/>
  </r>
  <r>
    <n v="60"/>
    <s v="Célula Shield Seguros"/>
    <s v="Sync | revisión hub | FE - QA(A)"/>
    <x v="7"/>
    <n v="0.25"/>
    <x v="0"/>
  </r>
  <r>
    <n v="61"/>
    <s v="Célula Shield Seguros"/>
    <s v="Sync | revisión iniciativas | FE - ARQ"/>
    <x v="7"/>
    <n v="1"/>
    <x v="0"/>
  </r>
  <r>
    <n v="62"/>
    <s v="Célula Shield Seguros"/>
    <s v="desarrollo | refactorización - landing - total_family_funeral | monorepo.pichincha"/>
    <x v="7"/>
    <n v="1"/>
    <x v="0"/>
  </r>
  <r>
    <n v="63"/>
    <s v="Célula Shield Seguros"/>
    <s v="desarrollo | refactorización - landing - life_health | monorepo.pichincha"/>
    <x v="7"/>
    <n v="2"/>
    <x v="0"/>
  </r>
  <r>
    <n v="64"/>
    <s v="Célula Shield Seguros"/>
    <s v="Planning Shield y Atómicos"/>
    <x v="8"/>
    <n v="2.25"/>
    <x v="0"/>
  </r>
  <r>
    <n v="65"/>
    <s v="Célula Shield Seguros"/>
    <s v="Sync | revisión iniciativas | FE - BE - ARQ"/>
    <x v="8"/>
    <n v="2"/>
    <x v="0"/>
  </r>
  <r>
    <n v="66"/>
    <s v="Célula Shield Seguros"/>
    <s v="Sync | revisión iniciativas | FE - ARQ"/>
    <x v="8"/>
    <n v="0.5"/>
    <x v="0"/>
  </r>
  <r>
    <n v="67"/>
    <s v="Célula Shield Seguros"/>
    <s v="Sync | revisión figma | FE - UX"/>
    <x v="8"/>
    <n v="0.25"/>
    <x v="0"/>
  </r>
  <r>
    <n v="68"/>
    <s v="Célula Shield Seguros"/>
    <s v="revison hus para pruebas de seguridad (sesion)"/>
    <x v="8"/>
    <n v="1"/>
    <x v="0"/>
  </r>
  <r>
    <n v="69"/>
    <s v="Célula Shield Seguros"/>
    <s v="desarrollo | iteración cmb - life_health | monorepo.pichincha"/>
    <x v="8"/>
    <n v="1"/>
    <x v="0"/>
  </r>
  <r>
    <n v="70"/>
    <s v="Célula Shield Seguros"/>
    <s v="desarrollo | iteración cmb - total_family_funeral | monorepo.pichincha"/>
    <x v="8"/>
    <n v="1"/>
    <x v="0"/>
  </r>
  <r>
    <n v="71"/>
    <s v="Célula Shield Seguros"/>
    <s v="Shield Seguros Daily"/>
    <x v="9"/>
    <n v="0.25"/>
    <x v="0"/>
  </r>
  <r>
    <n v="72"/>
    <s v="Célula Shield Seguros"/>
    <s v="Atómicos Daily"/>
    <x v="9"/>
    <n v="0.75"/>
    <x v="0"/>
  </r>
  <r>
    <n v="73"/>
    <s v="Célula Shield Seguros"/>
    <s v="Sync | revisión hub | FE - BE - BE(A) - QA(A) - ARQ"/>
    <x v="9"/>
    <n v="1.25"/>
    <x v="0"/>
  </r>
  <r>
    <n v="74"/>
    <s v="Célula Shield Seguros"/>
    <s v="Sync | revisión hub | FE - BE"/>
    <x v="9"/>
    <n v="0.25"/>
    <x v="0"/>
  </r>
  <r>
    <n v="75"/>
    <s v="Célula Shield Seguros"/>
    <s v="Sync | revisión iteraciones | FE - UI"/>
    <x v="9"/>
    <n v="0.25"/>
    <x v="0"/>
  </r>
  <r>
    <n v="76"/>
    <s v="Célula Shield Seguros"/>
    <s v="Sync | revisión iniciativas | FE - ARQ"/>
    <x v="9"/>
    <n v="1"/>
    <x v="0"/>
  </r>
  <r>
    <n v="77"/>
    <s v="Célula Shield Seguros"/>
    <s v="desarrollo | iteración cmb - frauds | monorepo.pichincha"/>
    <x v="9"/>
    <n v="1"/>
    <x v="0"/>
  </r>
  <r>
    <n v="78"/>
    <s v="Célula Shield Seguros"/>
    <s v="desarrollo | iteración cmb - hospimed | monorepo.pichincha"/>
    <x v="9"/>
    <n v="1"/>
    <x v="0"/>
  </r>
  <r>
    <n v="79"/>
    <s v="Célula Shield Seguros"/>
    <s v="desarrollo | mejoras de sesión en asistido | web.productos.pichincha"/>
    <x v="9"/>
    <n v="2.25"/>
    <x v="0"/>
  </r>
  <r>
    <n v="80"/>
    <s v="Célula Shield Seguros"/>
    <s v="Shield Seguros Daily"/>
    <x v="10"/>
    <n v="0.25"/>
    <x v="0"/>
  </r>
  <r>
    <n v="81"/>
    <s v="Célula Shield Seguros"/>
    <s v="Atómicos Daily"/>
    <x v="10"/>
    <n v="0.75"/>
    <x v="0"/>
  </r>
  <r>
    <n v="82"/>
    <s v="Célula Shield Seguros"/>
    <s v="Pase a prod - cmb animaciones (sesion)"/>
    <x v="10"/>
    <n v="0.5"/>
    <x v="0"/>
  </r>
  <r>
    <n v="83"/>
    <s v="Célula Shield Seguros"/>
    <s v="Sync | revisión preciso | FE - ARQ - PO(BP) - DV(BP)"/>
    <x v="10"/>
    <n v="0.5"/>
    <x v="0"/>
  </r>
  <r>
    <n v="84"/>
    <s v="Célula Shield Seguros"/>
    <s v="desarrollo | mover contenido a odd - life_health | monorepo.pichincha"/>
    <x v="10"/>
    <n v="4.75"/>
    <x v="0"/>
  </r>
  <r>
    <n v="85"/>
    <s v="Célula Shield Seguros"/>
    <s v="desarrikki | actualización de scripts odd | transversal"/>
    <x v="10"/>
    <n v="1.25"/>
    <x v="0"/>
  </r>
  <r>
    <n v="86"/>
    <s v="Célula Shield Seguros"/>
    <s v="Shield Seguros Daily"/>
    <x v="11"/>
    <n v="0.25"/>
    <x v="0"/>
  </r>
  <r>
    <n v="87"/>
    <s v="Célula Atómicos"/>
    <s v="Atómicos Daily"/>
    <x v="11"/>
    <n v="0.5"/>
    <x v="0"/>
  </r>
  <r>
    <n v="88"/>
    <s v="Célula Shield Seguros"/>
    <s v="Shield Seguros Refinamiento"/>
    <x v="11"/>
    <n v="1.5"/>
    <x v="0"/>
  </r>
  <r>
    <n v="89"/>
    <s v="Célula Shield Seguros"/>
    <s v="Revisión casos iphone (sesion)"/>
    <x v="11"/>
    <n v="1.25"/>
    <x v="0"/>
  </r>
  <r>
    <n v="90"/>
    <s v="Célula Shield Seguros"/>
    <s v="Shield Seguros Refinamiento"/>
    <x v="11"/>
    <n v="1.5"/>
    <x v="0"/>
  </r>
  <r>
    <n v="91"/>
    <s v="Célula Shield Seguros"/>
    <s v="Sync | revisión monorepo | FE - FE(A)"/>
    <x v="11"/>
    <n v="0.5"/>
    <x v="0"/>
  </r>
  <r>
    <n v="92"/>
    <s v="Célula Shield Seguros"/>
    <s v="desarrollo | mover contenido a odd - life_health | monorepo.pichincha"/>
    <x v="11"/>
    <n v="1.5"/>
    <x v="0"/>
  </r>
  <r>
    <n v="93"/>
    <s v="Célula Shield Seguros"/>
    <s v="desarrollo | mover contenido a odd - total_family_funeral | monorepo.pichincha"/>
    <x v="11"/>
    <n v="1"/>
    <x v="0"/>
  </r>
  <r>
    <n v="94"/>
    <s v="Célula Shield Seguros"/>
    <s v="Shield Seguros Daily"/>
    <x v="12"/>
    <n v="0.25"/>
    <x v="0"/>
  </r>
  <r>
    <n v="95"/>
    <s v="Célula Atómicos"/>
    <s v="Atómicos Daily"/>
    <x v="12"/>
    <n v="0.5"/>
    <x v="0"/>
  </r>
  <r>
    <n v="96"/>
    <s v="Célula Shield Seguros"/>
    <s v="Revisión pantalla error de datos de contactabilidad (sesion)"/>
    <x v="12"/>
    <n v="0.25"/>
    <x v="0"/>
  </r>
  <r>
    <n v="97"/>
    <s v="Célula Shield Seguros"/>
    <s v="Sync | revisión catalogs | FE - BE - QA"/>
    <x v="12"/>
    <n v="0.5"/>
    <x v="0"/>
  </r>
  <r>
    <n v="98"/>
    <s v="Célula Shield Seguros"/>
    <s v="Sync | revisión novedades | FE - QA"/>
    <x v="12"/>
    <n v="0.5"/>
    <x v="0"/>
  </r>
  <r>
    <n v="99"/>
    <s v="Célula Shield Seguros"/>
    <s v="revisión BPPSE-515 (sesion)"/>
    <x v="12"/>
    <n v="0.25"/>
    <x v="0"/>
  </r>
  <r>
    <n v="100"/>
    <s v="Célula Shield Seguros"/>
    <s v="Revisión de api Insurance management V1 (sesion)"/>
    <x v="12"/>
    <n v="2"/>
    <x v="0"/>
  </r>
  <r>
    <n v="101"/>
    <s v="Célula Shield Seguros"/>
    <s v="desarrollo | mover contenido a odd - total_family_funeral | monorepo.pichincha"/>
    <x v="12"/>
    <n v="2.25"/>
    <x v="0"/>
  </r>
  <r>
    <n v="102"/>
    <s v="Célula Shield Seguros"/>
    <s v="desarrollo | actualización de scripts odd | transversal"/>
    <x v="12"/>
    <n v="1.5"/>
    <x v="0"/>
  </r>
  <r>
    <n v="103"/>
    <s v="Célula Shield Seguros"/>
    <s v="Shield Seguros Daily"/>
    <x v="13"/>
    <n v="0.25"/>
    <x v="0"/>
  </r>
  <r>
    <n v="104"/>
    <s v="Célula Atómicos"/>
    <s v="Atómicos Daily"/>
    <x v="13"/>
    <n v="0.25"/>
    <x v="0"/>
  </r>
  <r>
    <n v="105"/>
    <s v="Célula Shield Seguros"/>
    <s v="Sync | revisión actualización de contratos | FE - BE - BE(TI) - ARQ"/>
    <x v="13"/>
    <n v="0.5"/>
    <x v="0"/>
  </r>
  <r>
    <n v="106"/>
    <s v="Célula Shield Seguros"/>
    <s v="Sync | revisión novedades | FE - QA"/>
    <x v="13"/>
    <n v="0.5"/>
    <x v="0"/>
  </r>
  <r>
    <n v="107"/>
    <s v="Célula Shield Seguros"/>
    <s v="revisión de integración BP-NOVA (sesion)"/>
    <x v="13"/>
    <n v="1"/>
    <x v="0"/>
  </r>
  <r>
    <n v="108"/>
    <s v="Célula Shield Seguros"/>
    <s v="desarrollo | iteración microinteracciones - life_health | monorepo.pichincha"/>
    <x v="13"/>
    <n v="3"/>
    <x v="0"/>
  </r>
  <r>
    <n v="109"/>
    <s v="Célula Shield Seguros"/>
    <s v="desarrollo | iteración microinteracciones - total_family_funeral | monorepo.pichincha"/>
    <x v="13"/>
    <n v="2.5"/>
    <x v="0"/>
  </r>
  <r>
    <n v="110"/>
    <s v="Célula Shield Seguros"/>
    <s v="Shield Seguros Daily"/>
    <x v="14"/>
    <n v="0.25"/>
    <x v="0"/>
  </r>
  <r>
    <n v="111"/>
    <s v="Célula Shield Seguros"/>
    <s v="Atómicos Daily"/>
    <x v="14"/>
    <n v="0.5"/>
    <x v="0"/>
  </r>
  <r>
    <n v="112"/>
    <s v="Célula Shield Seguros"/>
    <s v="Pase PROD: OP Ganada (sesion)"/>
    <x v="14"/>
    <n v="0.5"/>
    <x v="0"/>
  </r>
  <r>
    <n v="113"/>
    <s v="Célula Shield Seguros"/>
    <s v="Sync | revisión iniciativas | FE - BE - ARQ"/>
    <x v="14"/>
    <n v="0.75"/>
    <x v="0"/>
  </r>
  <r>
    <n v="114"/>
    <s v="Célula Shield Seguros"/>
    <s v="Sync | revisión monorepo | FE - FE(A)"/>
    <x v="14"/>
    <n v="0.5"/>
    <x v="0"/>
  </r>
  <r>
    <n v="115"/>
    <s v="Célula Shield Seguros"/>
    <s v="Sync | revisión eventos gtm | FE - UX"/>
    <x v="14"/>
    <n v="1.25"/>
    <x v="0"/>
  </r>
  <r>
    <n v="116"/>
    <s v="Célula Shield Seguros"/>
    <s v="desarrollo | iteración de microinteracciones - frauds | monorepo.pichincha"/>
    <x v="14"/>
    <n v="2.5"/>
    <x v="0"/>
  </r>
  <r>
    <n v="117"/>
    <s v="Célula Shield Seguros"/>
    <s v="desarrollo | actualización de scripts odd | transversal"/>
    <x v="14"/>
    <n v="1.75"/>
    <x v="0"/>
  </r>
  <r>
    <n v="118"/>
    <s v="Célula Shield Seguros"/>
    <s v="Shield Seguros Daily"/>
    <x v="15"/>
    <n v="0.25"/>
    <x v="0"/>
  </r>
  <r>
    <n v="119"/>
    <s v="Célula Atómicos"/>
    <s v="Atómicos Daily"/>
    <x v="15"/>
    <n v="0.25"/>
    <x v="0"/>
  </r>
  <r>
    <n v="120"/>
    <s v="Célula Shield Seguros"/>
    <s v="Prework Q4 (sesion)"/>
    <x v="15"/>
    <n v="1"/>
    <x v="0"/>
  </r>
  <r>
    <n v="121"/>
    <s v="Célula Shield Seguros"/>
    <s v="Sync | revisión novedades | FE - QA"/>
    <x v="15"/>
    <n v="0.25"/>
    <x v="0"/>
  </r>
  <r>
    <n v="122"/>
    <s v="Célula Shield Seguros"/>
    <s v="Sync | revisión monorepo | FE - FE(A)"/>
    <x v="15"/>
    <n v="0.25"/>
    <x v="0"/>
  </r>
  <r>
    <n v="123"/>
    <s v="Célula Shield Seguros"/>
    <s v="Taller de análisis técnico para CMB en campañas owned (sesion)"/>
    <x v="15"/>
    <n v="0.75"/>
    <x v="0"/>
  </r>
  <r>
    <n v="124"/>
    <s v="Célula Shield Seguros"/>
    <s v="Sync | revisión seguridad bp | FE - BE(A) - QA(A)"/>
    <x v="15"/>
    <n v="1.25"/>
    <x v="0"/>
  </r>
  <r>
    <n v="125"/>
    <s v="Célula Shield Seguros"/>
    <s v="desarrollo | configuraciones test AB | transversal"/>
    <x v="15"/>
    <n v="2"/>
    <x v="0"/>
  </r>
  <r>
    <n v="126"/>
    <s v="Célula Shield Seguros"/>
    <s v="desarrollo | control de duplicidad | web.social.pichincha"/>
    <x v="15"/>
    <n v="2"/>
    <x v="0"/>
  </r>
  <r>
    <n v="127"/>
    <s v="Célula Shield Seguros"/>
    <s v="Shield Seguros Daily"/>
    <x v="16"/>
    <n v="0.25"/>
    <x v="0"/>
  </r>
  <r>
    <n v="128"/>
    <s v="Célula Atómicos"/>
    <s v="Atómicos Daily"/>
    <x v="16"/>
    <n v="0.5"/>
    <x v="0"/>
  </r>
  <r>
    <n v="129"/>
    <s v="Célula Shield Seguros"/>
    <s v="Sync | revisión cookies | FE - BE - ARQ"/>
    <x v="16"/>
    <n v="2"/>
    <x v="0"/>
  </r>
  <r>
    <n v="130"/>
    <s v="Célula Shield Seguros"/>
    <s v="Prework Q4 (sesion)"/>
    <x v="16"/>
    <n v="0.25"/>
    <x v="0"/>
  </r>
  <r>
    <n v="131"/>
    <s v="Célula Shield Seguros"/>
    <s v="Sync | revisión iniciativas | FE - ARQ"/>
    <x v="16"/>
    <n v="0.5"/>
    <x v="0"/>
  </r>
  <r>
    <n v="132"/>
    <s v="Célula Shield Seguros"/>
    <s v="desarrollo | control de duplicidad | web.social.pichincha"/>
    <x v="16"/>
    <n v="2.5"/>
    <x v="0"/>
  </r>
  <r>
    <n v="133"/>
    <s v="Célula Shield Seguros"/>
    <s v="desarrollo | iteración packages | monorepo.pichincha"/>
    <x v="16"/>
    <n v="2"/>
    <x v="0"/>
  </r>
  <r>
    <n v="134"/>
    <s v="Célula Shield Seguros"/>
    <s v="revison seguridad hub pendiente 2 (sesion)"/>
    <x v="17"/>
    <n v="1.75"/>
    <x v="0"/>
  </r>
  <r>
    <n v="135"/>
    <s v="Célula Shield Seguros"/>
    <s v="Sync | revisión novedades | FE - QA(A)"/>
    <x v="17"/>
    <n v="0.75"/>
    <x v="0"/>
  </r>
  <r>
    <n v="136"/>
    <s v="Célula Shield Seguros"/>
    <s v="Shield Seguros Review"/>
    <x v="17"/>
    <n v="1"/>
    <x v="0"/>
  </r>
  <r>
    <n v="137"/>
    <s v="Célula Shield Seguros"/>
    <s v="desarrollo | correcciones en asistido | monorepo.pichincha"/>
    <x v="17"/>
    <n v="2.5"/>
    <x v="0"/>
  </r>
  <r>
    <n v="138"/>
    <s v="Célula Shield Seguros"/>
    <s v="desarrollo | actualización de scripts odd | transversal"/>
    <x v="17"/>
    <n v="2"/>
    <x v="0"/>
  </r>
  <r>
    <n v="139"/>
    <s v="Célula Shield Seguros"/>
    <s v="Shield Seguros Daily"/>
    <x v="18"/>
    <n v="0.25"/>
    <x v="0"/>
  </r>
  <r>
    <n v="140"/>
    <s v="Célula Atómicos"/>
    <s v="Atómicos Daily"/>
    <x v="18"/>
    <n v="0.5"/>
    <x v="0"/>
  </r>
  <r>
    <n v="141"/>
    <s v="Célula Shield Seguros"/>
    <s v="Sync | revisión mejoras en asistido | FE - QA - ARQ"/>
    <x v="18"/>
    <n v="0.25"/>
    <x v="0"/>
  </r>
  <r>
    <n v="142"/>
    <s v="Célula Shield Seguros"/>
    <s v="Sync | revisión eventos gtm | FE - UX"/>
    <x v="18"/>
    <n v="0.25"/>
    <x v="0"/>
  </r>
  <r>
    <n v="143"/>
    <s v="Célula Shield Seguros"/>
    <s v="Revisar integración crédito en línea con serguros. (sesion)"/>
    <x v="18"/>
    <n v="1"/>
    <x v="0"/>
  </r>
  <r>
    <n v="144"/>
    <s v="Célula Shield Seguros"/>
    <s v="desarrollo | correcciones en asistido | monorepo.pichincha"/>
    <x v="18"/>
    <n v="3.75"/>
    <x v="0"/>
  </r>
  <r>
    <n v="145"/>
    <s v="Célula Shield Seguros"/>
    <s v="desarrollo | actualización de scripts odd | transversal"/>
    <x v="18"/>
    <n v="2"/>
    <x v="0"/>
  </r>
  <r>
    <n v="146"/>
    <s v="Célula Shield Seguros"/>
    <s v="Shield Seguros Daily"/>
    <x v="19"/>
    <n v="0.25"/>
    <x v="0"/>
  </r>
  <r>
    <n v="147"/>
    <s v="Célula Atómicos"/>
    <s v="Atómicos Daily"/>
    <x v="19"/>
    <n v="0.25"/>
    <x v="0"/>
  </r>
  <r>
    <n v="148"/>
    <s v="Célula Shield Seguros"/>
    <s v="Sync | revisión iniciativas | FE - FE(A) - BE"/>
    <x v="19"/>
    <n v="0.5"/>
    <x v="0"/>
  </r>
  <r>
    <n v="149"/>
    <s v="Célula Shield Seguros"/>
    <s v="Prework Q4 (sesion)"/>
    <x v="19"/>
    <n v="1"/>
    <x v="0"/>
  </r>
  <r>
    <n v="150"/>
    <s v="Célula Shield Seguros"/>
    <s v="Sync | revisión pbi | FE - SM"/>
    <x v="19"/>
    <n v="0.25"/>
    <x v="0"/>
  </r>
  <r>
    <n v="151"/>
    <s v="Célula Shield Seguros"/>
    <s v="Sync | revisión novedades | FE - QA"/>
    <x v="19"/>
    <n v="0.5"/>
    <x v="0"/>
  </r>
  <r>
    <n v="152"/>
    <s v="Célula Shield Seguros"/>
    <s v="desarrollo | correcciones en asistido | monorepo.pichincha"/>
    <x v="19"/>
    <n v="2.75"/>
    <x v="0"/>
  </r>
  <r>
    <n v="153"/>
    <s v="Célula Shield Seguros"/>
    <s v="desarrollo | actualización de scripts odd | transversal"/>
    <x v="19"/>
    <n v="0.5"/>
    <x v="0"/>
  </r>
  <r>
    <n v="154"/>
    <s v="Célula Shield Seguros"/>
    <s v="desarrollo | refactorización landing - life_health | monorepo.pichincha"/>
    <x v="19"/>
    <n v="2"/>
    <x v="0"/>
  </r>
  <r>
    <n v="155"/>
    <s v="Célula Shield Seguros"/>
    <s v="Shield Seguros Daily"/>
    <x v="20"/>
    <n v="0.25"/>
    <x v="0"/>
  </r>
  <r>
    <n v="156"/>
    <s v="Célula Shield Seguros"/>
    <s v="Sync | revisión a observaciones en el APIM  | FE - BE - ARQ"/>
    <x v="20"/>
    <n v="0.75"/>
    <x v="0"/>
  </r>
  <r>
    <n v="157"/>
    <s v="Célula Shield Seguros"/>
    <s v="Sync | revisión test a-b | FE - BE - QA"/>
    <x v="20"/>
    <n v="0.5"/>
    <x v="0"/>
  </r>
  <r>
    <n v="158"/>
    <s v="Célula Shield Seguros"/>
    <s v="Prework Q4 (sesion)"/>
    <x v="20"/>
    <n v="1"/>
    <x v="0"/>
  </r>
  <r>
    <n v="159"/>
    <s v="Célula Shield Seguros"/>
    <s v="desarrollo | refactorización - subscription - life_health | monorepo.pichincha"/>
    <x v="20"/>
    <n v="2"/>
    <x v="0"/>
  </r>
  <r>
    <n v="160"/>
    <s v="Célula Shield Seguros"/>
    <s v="desarrollo | refactorización - landing - life_health | monorepo.pichincha"/>
    <x v="20"/>
    <n v="2"/>
    <x v="0"/>
  </r>
  <r>
    <n v="161"/>
    <s v="Célula Shield Seguros"/>
    <s v="desarrollo | refactorización - subscription - total_family_funeral | monorepo.pichincha"/>
    <x v="20"/>
    <n v="1.5"/>
    <x v="0"/>
  </r>
  <r>
    <n v="162"/>
    <s v="Célula Shield Seguros"/>
    <s v="Shield Seguros Daily"/>
    <x v="21"/>
    <n v="0.25"/>
    <x v="0"/>
  </r>
  <r>
    <n v="163"/>
    <s v="Célula Shield Seguros"/>
    <s v="Shield Seguros Refinamiento"/>
    <x v="21"/>
    <n v="1.25"/>
    <x v="0"/>
  </r>
  <r>
    <n v="164"/>
    <s v="Célula Shield Seguros"/>
    <s v="Prework Q4 (sesion)"/>
    <x v="21"/>
    <n v="0.25"/>
    <x v="0"/>
  </r>
  <r>
    <n v="165"/>
    <s v="Célula Shield Seguros"/>
    <s v="Pase a prod | composición por bloques + iteración microinteracciones (sesion)"/>
    <x v="21"/>
    <n v="0.75"/>
    <x v="0"/>
  </r>
  <r>
    <n v="166"/>
    <s v="Célula Shield Seguros"/>
    <s v="Sync | revisión novedades | FE - QA"/>
    <x v="21"/>
    <n v="0.25"/>
    <x v="0"/>
  </r>
  <r>
    <n v="167"/>
    <s v="Célula Shield Seguros"/>
    <s v="Sync | revisión novedades | FE - QA - ARQ"/>
    <x v="21"/>
    <n v="0.25"/>
    <x v="0"/>
  </r>
  <r>
    <n v="168"/>
    <s v="Célula Shield Seguros"/>
    <s v="Sync | revisión orden de secciones | FE - UI - UX"/>
    <x v="21"/>
    <n v="0.5"/>
    <x v="0"/>
  </r>
  <r>
    <n v="169"/>
    <s v="Célula Shield Seguros"/>
    <s v="desarrollo | correcciones en asistido | monorepo.pichincha"/>
    <x v="21"/>
    <n v="3"/>
    <x v="0"/>
  </r>
  <r>
    <n v="170"/>
    <s v="Célula Shield Seguros"/>
    <s v="desarrollo | actualización de scripts odd | transversal"/>
    <x v="21"/>
    <n v="1.5"/>
    <x v="0"/>
  </r>
  <r>
    <n v="171"/>
    <s v="Célula Shield Seguros"/>
    <m/>
    <x v="22"/>
    <m/>
    <x v="0"/>
  </r>
  <r>
    <n v="172"/>
    <s v="Célula Shield Seguros"/>
    <m/>
    <x v="22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22519-6185-4B93-BBDE-0D8D60324E52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8" firstHeaderRow="1" firstDataRow="1" firstDataCol="1"/>
  <pivotFields count="6">
    <pivotField showAll="0"/>
    <pivotField showAll="0"/>
    <pivotField showAll="0"/>
    <pivotField axis="axisRow" numFmtId="14" showAll="0">
      <items count="708">
        <item m="1" x="688"/>
        <item m="1" x="592"/>
        <item m="1" x="613"/>
        <item m="1" x="681"/>
        <item m="1" x="584"/>
        <item m="1" x="647"/>
        <item m="1" x="554"/>
        <item m="1" x="605"/>
        <item m="1" x="673"/>
        <item m="1" x="577"/>
        <item m="1" x="638"/>
        <item m="1" x="599"/>
        <item m="1" x="663"/>
        <item m="1" x="568"/>
        <item m="1" x="632"/>
        <item m="1" x="702"/>
        <item m="1" x="590"/>
        <item m="1" x="654"/>
        <item m="1" x="560"/>
        <item m="1" x="545"/>
        <item m="1" x="670"/>
        <item m="1" x="574"/>
        <item m="1" x="691"/>
        <item m="1" x="596"/>
        <item m="1" x="660"/>
        <item m="1" x="565"/>
        <item m="1" x="616"/>
        <item m="1" x="684"/>
        <item m="1" x="587"/>
        <item m="1" x="651"/>
        <item m="1" x="557"/>
        <item m="1" x="608"/>
        <item m="1" x="677"/>
        <item m="1" x="581"/>
        <item m="1" x="642"/>
        <item m="1" x="548"/>
        <item m="1" x="666"/>
        <item m="1" x="571"/>
        <item m="1" x="634"/>
        <item m="1" x="704"/>
        <item m="1" x="671"/>
        <item m="1" x="575"/>
        <item m="1" x="636"/>
        <item m="1" x="674"/>
        <item m="1" x="597"/>
        <item m="1" x="661"/>
        <item m="1" x="566"/>
        <item m="1" x="631"/>
        <item m="1" x="685"/>
        <item m="1" x="588"/>
        <item m="1" x="652"/>
        <item m="1" x="558"/>
        <item m="1" x="627"/>
        <item m="1" x="643"/>
        <item m="1" x="549"/>
        <item m="1" x="622"/>
        <item m="1" x="667"/>
        <item m="1" x="572"/>
        <item m="1" x="692"/>
        <item m="1" x="648"/>
        <item m="1" x="555"/>
        <item m="1" x="625"/>
        <item m="1" x="578"/>
        <item m="1" x="639"/>
        <item m="1" x="546"/>
        <item m="1" x="621"/>
        <item m="1" x="664"/>
        <item m="1" x="569"/>
        <item m="1" x="633"/>
        <item m="1" x="703"/>
        <item m="1" x="618"/>
        <item m="1" x="655"/>
        <item m="1" x="561"/>
        <item m="1" x="628"/>
        <item m="1" x="698"/>
        <item m="1" x="611"/>
        <item m="1" x="645"/>
        <item m="1" x="552"/>
        <item m="1" x="624"/>
        <item m="1" x="695"/>
        <item m="1" x="603"/>
        <item m="1" x="617"/>
        <item m="1" x="686"/>
        <item m="1" x="589"/>
        <item m="1" x="653"/>
        <item m="1" x="559"/>
        <item m="1" x="609"/>
        <item m="1" x="678"/>
        <item m="1" x="582"/>
        <item m="1" x="644"/>
        <item m="1" x="550"/>
        <item m="1" x="601"/>
        <item m="1" x="668"/>
        <item m="1" x="573"/>
        <item m="1" x="635"/>
        <item m="1" x="705"/>
        <item m="1" x="593"/>
        <item m="1" x="657"/>
        <item m="1" x="563"/>
        <item m="1" x="630"/>
        <item m="1" x="700"/>
        <item m="1" x="690"/>
        <item m="1" x="595"/>
        <item m="1" x="659"/>
        <item m="1" x="564"/>
        <item m="1" x="615"/>
        <item m="1" x="683"/>
        <item m="1" x="586"/>
        <item m="1" x="650"/>
        <item m="1" x="556"/>
        <item m="1" x="607"/>
        <item m="1" x="676"/>
        <item m="1" x="580"/>
        <item m="1" x="641"/>
        <item m="1" x="547"/>
        <item m="1" x="626"/>
        <item m="1" x="697"/>
        <item m="1" x="693"/>
        <item m="1" x="600"/>
        <item m="1" x="665"/>
        <item m="1" x="570"/>
        <item m="1" x="619"/>
        <item m="1" x="687"/>
        <item m="1" x="591"/>
        <item m="1" x="656"/>
        <item m="1" x="562"/>
        <item m="1" x="629"/>
        <item m="1" x="699"/>
        <item m="1" x="612"/>
        <item m="1" x="680"/>
        <item m="1" x="583"/>
        <item m="1" x="646"/>
        <item m="1" x="553"/>
        <item m="1" x="604"/>
        <item m="1" x="672"/>
        <item m="1" x="576"/>
        <item m="1" x="637"/>
        <item m="1" x="598"/>
        <item m="1" x="662"/>
        <item m="1" x="567"/>
        <item m="1" x="610"/>
        <item m="1" x="679"/>
        <item m="1" x="551"/>
        <item m="1" x="623"/>
        <item m="1" x="694"/>
        <item m="1" x="602"/>
        <item m="1" x="669"/>
        <item m="1" x="706"/>
        <item m="1" x="620"/>
        <item m="1" x="689"/>
        <item m="1" x="594"/>
        <item m="1" x="658"/>
        <item m="1" x="701"/>
        <item m="1" x="614"/>
        <item m="1" x="682"/>
        <item m="1" x="585"/>
        <item m="1" x="649"/>
        <item m="1" x="696"/>
        <item m="1" x="606"/>
        <item m="1" x="675"/>
        <item m="1" x="579"/>
        <item m="1" x="640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19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50"/>
        <item m="1" x="351"/>
        <item m="1" x="352"/>
        <item m="1" x="353"/>
        <item m="1" x="124"/>
        <item m="1" x="355"/>
        <item m="1" x="349"/>
        <item m="1" x="356"/>
        <item m="1" x="354"/>
        <item m="1" x="357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12"/>
        <item m="1" x="313"/>
        <item m="1" x="314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03"/>
        <item m="1" x="222"/>
        <item m="1" x="223"/>
        <item m="1" x="224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4"/>
        <item m="1" x="205"/>
        <item m="1" x="20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5"/>
        <item m="1" x="126"/>
        <item m="1" x="127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showAll="0"/>
    <pivotField axis="axisRow" showAll="0">
      <items count="5">
        <item x="0"/>
        <item m="1" x="1"/>
        <item m="1" x="2"/>
        <item m="1" x="3"/>
        <item t="default"/>
      </items>
    </pivotField>
  </pivotFields>
  <rowFields count="2">
    <field x="5"/>
    <field x="3"/>
  </rowFields>
  <rowItems count="25">
    <i>
      <x/>
    </i>
    <i r="1">
      <x v="66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t="grand">
      <x/>
    </i>
  </rowItems>
  <colItems count="1">
    <i/>
  </colItems>
  <dataFields count="1">
    <dataField name="Suma de Hora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187"/>
  <sheetViews>
    <sheetView tabSelected="1" zoomScaleNormal="100" workbookViewId="0">
      <pane xSplit="1" ySplit="8" topLeftCell="B9" activePane="bottomRight" state="frozen"/>
      <selection pane="topRight" activeCell="B1" sqref="B1"/>
      <selection pane="bottomLeft" activeCell="A4" sqref="A4"/>
      <selection pane="bottomRight" activeCell="C5" sqref="C5:F5"/>
    </sheetView>
  </sheetViews>
  <sheetFormatPr baseColWidth="10" defaultColWidth="9.109375" defaultRowHeight="14.4" x14ac:dyDescent="0.3"/>
  <cols>
    <col min="1" max="1" width="8.5546875" customWidth="1"/>
    <col min="2" max="2" width="19" customWidth="1"/>
    <col min="3" max="3" width="75.109375" customWidth="1"/>
    <col min="4" max="4" width="18.44140625" customWidth="1"/>
    <col min="5" max="5" width="10.44140625" bestFit="1" customWidth="1"/>
    <col min="6" max="6" width="5.44140625" customWidth="1"/>
    <col min="7" max="7" width="12.5546875" customWidth="1"/>
    <col min="9" max="9" width="14.5546875" customWidth="1"/>
    <col min="10" max="10" width="13" customWidth="1"/>
  </cols>
  <sheetData>
    <row r="1" spans="1:125" ht="42" customHeight="1" x14ac:dyDescent="0.3">
      <c r="A1" s="30" t="s">
        <v>0</v>
      </c>
      <c r="B1" s="30"/>
      <c r="C1" s="30"/>
      <c r="D1" s="30"/>
      <c r="E1" s="30"/>
      <c r="F1" s="30"/>
    </row>
    <row r="2" spans="1:125" x14ac:dyDescent="0.3">
      <c r="A2" s="25" t="s">
        <v>1</v>
      </c>
      <c r="B2" s="26"/>
      <c r="C2" s="31">
        <v>45931</v>
      </c>
      <c r="D2" s="32"/>
      <c r="E2" s="32"/>
      <c r="F2" s="33"/>
    </row>
    <row r="3" spans="1:125" x14ac:dyDescent="0.3">
      <c r="A3" s="25" t="s">
        <v>2</v>
      </c>
      <c r="B3" s="26"/>
      <c r="C3" s="27" t="s">
        <v>3</v>
      </c>
      <c r="D3" s="28"/>
      <c r="E3" s="28"/>
      <c r="F3" s="29"/>
    </row>
    <row r="4" spans="1:125" ht="15" customHeight="1" x14ac:dyDescent="0.3">
      <c r="A4" s="25" t="s">
        <v>4</v>
      </c>
      <c r="B4" s="26"/>
      <c r="C4" s="27" t="s">
        <v>117</v>
      </c>
      <c r="D4" s="28"/>
      <c r="E4" s="28"/>
      <c r="F4" s="29"/>
    </row>
    <row r="5" spans="1:125" ht="15" customHeight="1" x14ac:dyDescent="0.3">
      <c r="A5" s="14" t="s">
        <v>5</v>
      </c>
      <c r="B5" s="15"/>
      <c r="C5" s="16" t="s">
        <v>19</v>
      </c>
      <c r="D5" s="16"/>
      <c r="E5" s="16"/>
      <c r="F5" s="16"/>
    </row>
    <row r="6" spans="1:125" ht="15" customHeight="1" x14ac:dyDescent="0.3">
      <c r="A6" s="17" t="s">
        <v>6</v>
      </c>
      <c r="B6" s="18"/>
      <c r="C6" s="19" t="s">
        <v>24</v>
      </c>
      <c r="D6" s="20"/>
      <c r="E6" s="20"/>
      <c r="F6" s="21"/>
    </row>
    <row r="7" spans="1:125" ht="15" customHeight="1" x14ac:dyDescent="0.3">
      <c r="A7" s="22" t="s">
        <v>7</v>
      </c>
      <c r="B7" s="23"/>
      <c r="C7" s="23"/>
      <c r="D7" s="23"/>
      <c r="E7" s="23"/>
      <c r="F7" s="24"/>
    </row>
    <row r="8" spans="1:125" ht="28.8" x14ac:dyDescent="0.3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13</v>
      </c>
    </row>
    <row r="9" spans="1:125" s="3" customFormat="1" x14ac:dyDescent="0.3">
      <c r="A9" s="10">
        <v>1</v>
      </c>
      <c r="B9" s="4" t="s">
        <v>26</v>
      </c>
      <c r="C9" s="4" t="s">
        <v>27</v>
      </c>
      <c r="D9" s="11">
        <v>45901</v>
      </c>
      <c r="E9" s="4">
        <v>0.25</v>
      </c>
      <c r="F9" s="4" t="s">
        <v>14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</row>
    <row r="10" spans="1:125" s="3" customFormat="1" x14ac:dyDescent="0.3">
      <c r="A10" s="10">
        <v>2</v>
      </c>
      <c r="B10" s="4" t="s">
        <v>29</v>
      </c>
      <c r="C10" s="4" t="s">
        <v>28</v>
      </c>
      <c r="D10" s="11">
        <v>45901</v>
      </c>
      <c r="E10" s="4">
        <v>0.5</v>
      </c>
      <c r="F10" s="4" t="s">
        <v>14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</row>
    <row r="11" spans="1:125" s="3" customFormat="1" x14ac:dyDescent="0.3">
      <c r="A11" s="10">
        <v>3</v>
      </c>
      <c r="B11" s="4" t="s">
        <v>26</v>
      </c>
      <c r="C11" s="4" t="s">
        <v>63</v>
      </c>
      <c r="D11" s="11">
        <v>45901</v>
      </c>
      <c r="E11" s="4">
        <v>0.25</v>
      </c>
      <c r="F11" s="4" t="s">
        <v>14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</row>
    <row r="12" spans="1:125" s="3" customFormat="1" x14ac:dyDescent="0.3">
      <c r="A12" s="10">
        <v>4</v>
      </c>
      <c r="B12" s="4" t="s">
        <v>26</v>
      </c>
      <c r="C12" s="4" t="s">
        <v>64</v>
      </c>
      <c r="D12" s="11">
        <v>45901</v>
      </c>
      <c r="E12" s="4">
        <v>2</v>
      </c>
      <c r="F12" s="4" t="s">
        <v>14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</row>
    <row r="13" spans="1:125" s="3" customFormat="1" x14ac:dyDescent="0.3">
      <c r="A13" s="10">
        <v>5</v>
      </c>
      <c r="B13" s="4" t="s">
        <v>26</v>
      </c>
      <c r="C13" s="4" t="s">
        <v>65</v>
      </c>
      <c r="D13" s="11">
        <v>45901</v>
      </c>
      <c r="E13" s="4">
        <v>0.5</v>
      </c>
      <c r="F13" s="4" t="s">
        <v>14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</row>
    <row r="14" spans="1:125" s="3" customFormat="1" x14ac:dyDescent="0.3">
      <c r="A14" s="10">
        <v>6</v>
      </c>
      <c r="B14" s="4" t="s">
        <v>26</v>
      </c>
      <c r="C14" s="4" t="s">
        <v>92</v>
      </c>
      <c r="D14" s="11">
        <v>45901</v>
      </c>
      <c r="E14" s="4">
        <v>2.5</v>
      </c>
      <c r="F14" s="4" t="s">
        <v>14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</row>
    <row r="15" spans="1:125" s="3" customFormat="1" x14ac:dyDescent="0.3">
      <c r="A15" s="10">
        <v>7</v>
      </c>
      <c r="B15" s="4" t="s">
        <v>26</v>
      </c>
      <c r="C15" s="4" t="s">
        <v>93</v>
      </c>
      <c r="D15" s="11">
        <v>45901</v>
      </c>
      <c r="E15" s="4">
        <v>2</v>
      </c>
      <c r="F15" s="4" t="s">
        <v>14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</row>
    <row r="16" spans="1:125" s="3" customFormat="1" x14ac:dyDescent="0.3">
      <c r="A16" s="10">
        <v>8</v>
      </c>
      <c r="B16" s="4" t="s">
        <v>26</v>
      </c>
      <c r="C16" s="4" t="s">
        <v>27</v>
      </c>
      <c r="D16" s="11">
        <v>45902</v>
      </c>
      <c r="E16" s="4">
        <v>0.25</v>
      </c>
      <c r="F16" s="4" t="s">
        <v>14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</row>
    <row r="17" spans="1:125" s="3" customFormat="1" x14ac:dyDescent="0.3">
      <c r="A17" s="10">
        <v>9</v>
      </c>
      <c r="B17" s="4" t="s">
        <v>26</v>
      </c>
      <c r="C17" s="4" t="s">
        <v>28</v>
      </c>
      <c r="D17" s="11">
        <v>45902</v>
      </c>
      <c r="E17" s="4">
        <v>0.25</v>
      </c>
      <c r="F17" s="4" t="s">
        <v>14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</row>
    <row r="18" spans="1:125" s="3" customFormat="1" x14ac:dyDescent="0.3">
      <c r="A18" s="10">
        <v>10</v>
      </c>
      <c r="B18" s="4" t="s">
        <v>26</v>
      </c>
      <c r="C18" s="4" t="s">
        <v>34</v>
      </c>
      <c r="D18" s="11">
        <v>45902</v>
      </c>
      <c r="E18" s="4">
        <v>1</v>
      </c>
      <c r="F18" s="4" t="s">
        <v>14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</row>
    <row r="19" spans="1:125" s="3" customFormat="1" x14ac:dyDescent="0.3">
      <c r="A19" s="10">
        <v>11</v>
      </c>
      <c r="B19" s="4" t="s">
        <v>26</v>
      </c>
      <c r="C19" s="4" t="s">
        <v>41</v>
      </c>
      <c r="D19" s="11">
        <v>45902</v>
      </c>
      <c r="E19" s="4">
        <v>0.25</v>
      </c>
      <c r="F19" s="4" t="s">
        <v>14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</row>
    <row r="20" spans="1:125" s="3" customFormat="1" x14ac:dyDescent="0.3">
      <c r="A20" s="10">
        <v>12</v>
      </c>
      <c r="B20" s="4" t="s">
        <v>26</v>
      </c>
      <c r="C20" s="4" t="s">
        <v>33</v>
      </c>
      <c r="D20" s="11">
        <v>45902</v>
      </c>
      <c r="E20" s="4">
        <v>0.5</v>
      </c>
      <c r="F20" s="4" t="s">
        <v>14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</row>
    <row r="21" spans="1:125" s="3" customFormat="1" x14ac:dyDescent="0.3">
      <c r="A21" s="10">
        <v>13</v>
      </c>
      <c r="B21" s="4" t="s">
        <v>26</v>
      </c>
      <c r="C21" s="4" t="s">
        <v>51</v>
      </c>
      <c r="D21" s="11">
        <v>45902</v>
      </c>
      <c r="E21" s="4">
        <v>0.5</v>
      </c>
      <c r="F21" s="4" t="s">
        <v>14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</row>
    <row r="22" spans="1:125" s="3" customFormat="1" x14ac:dyDescent="0.3">
      <c r="A22" s="10">
        <v>14</v>
      </c>
      <c r="B22" s="4" t="s">
        <v>26</v>
      </c>
      <c r="C22" s="4" t="s">
        <v>31</v>
      </c>
      <c r="D22" s="11">
        <v>45902</v>
      </c>
      <c r="E22" s="4">
        <v>0.5</v>
      </c>
      <c r="F22" s="4" t="s">
        <v>14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</row>
    <row r="23" spans="1:125" s="3" customFormat="1" x14ac:dyDescent="0.3">
      <c r="A23" s="10">
        <v>15</v>
      </c>
      <c r="B23" s="4" t="s">
        <v>26</v>
      </c>
      <c r="C23" s="4" t="s">
        <v>64</v>
      </c>
      <c r="D23" s="11">
        <v>45902</v>
      </c>
      <c r="E23" s="4">
        <v>0.75</v>
      </c>
      <c r="F23" s="4" t="s">
        <v>14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</row>
    <row r="24" spans="1:125" s="3" customFormat="1" x14ac:dyDescent="0.3">
      <c r="A24" s="10">
        <v>16</v>
      </c>
      <c r="B24" s="4" t="s">
        <v>26</v>
      </c>
      <c r="C24" s="4" t="s">
        <v>63</v>
      </c>
      <c r="D24" s="11">
        <v>45902</v>
      </c>
      <c r="E24" s="4">
        <v>0.25</v>
      </c>
      <c r="F24" s="4" t="s">
        <v>14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</row>
    <row r="25" spans="1:125" s="3" customFormat="1" x14ac:dyDescent="0.3">
      <c r="A25" s="10">
        <v>17</v>
      </c>
      <c r="B25" s="4" t="s">
        <v>26</v>
      </c>
      <c r="C25" s="4" t="s">
        <v>66</v>
      </c>
      <c r="D25" s="11">
        <v>45902</v>
      </c>
      <c r="E25" s="4">
        <v>0.5</v>
      </c>
      <c r="F25" s="4" t="s">
        <v>14</v>
      </c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</row>
    <row r="26" spans="1:125" s="3" customFormat="1" x14ac:dyDescent="0.3">
      <c r="A26" s="10">
        <v>18</v>
      </c>
      <c r="B26" s="4" t="s">
        <v>26</v>
      </c>
      <c r="C26" s="4" t="s">
        <v>78</v>
      </c>
      <c r="D26" s="11">
        <v>45902</v>
      </c>
      <c r="E26" s="4">
        <v>2.25</v>
      </c>
      <c r="F26" s="4" t="s">
        <v>14</v>
      </c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</row>
    <row r="27" spans="1:125" s="3" customFormat="1" x14ac:dyDescent="0.3">
      <c r="A27" s="10">
        <v>19</v>
      </c>
      <c r="B27" s="4" t="s">
        <v>26</v>
      </c>
      <c r="C27" s="4" t="s">
        <v>92</v>
      </c>
      <c r="D27" s="11">
        <v>45902</v>
      </c>
      <c r="E27" s="4">
        <v>1</v>
      </c>
      <c r="F27" s="4" t="s">
        <v>14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</row>
    <row r="28" spans="1:125" x14ac:dyDescent="0.3">
      <c r="A28" s="10">
        <v>20</v>
      </c>
      <c r="B28" s="4" t="s">
        <v>26</v>
      </c>
      <c r="C28" s="4" t="s">
        <v>27</v>
      </c>
      <c r="D28" s="11">
        <v>45903</v>
      </c>
      <c r="E28" s="4">
        <v>0.25</v>
      </c>
      <c r="F28" s="4" t="s">
        <v>14</v>
      </c>
    </row>
    <row r="29" spans="1:125" x14ac:dyDescent="0.3">
      <c r="A29" s="10">
        <v>21</v>
      </c>
      <c r="B29" s="4" t="s">
        <v>29</v>
      </c>
      <c r="C29" s="4" t="s">
        <v>28</v>
      </c>
      <c r="D29" s="11">
        <v>45903</v>
      </c>
      <c r="E29" s="4">
        <v>0.25</v>
      </c>
      <c r="F29" s="4" t="s">
        <v>14</v>
      </c>
    </row>
    <row r="30" spans="1:125" x14ac:dyDescent="0.3">
      <c r="A30" s="10">
        <v>22</v>
      </c>
      <c r="B30" s="4" t="s">
        <v>26</v>
      </c>
      <c r="C30" s="4" t="s">
        <v>32</v>
      </c>
      <c r="D30" s="11">
        <v>45903</v>
      </c>
      <c r="E30" s="4">
        <v>2.75</v>
      </c>
      <c r="F30" s="4" t="s">
        <v>14</v>
      </c>
    </row>
    <row r="31" spans="1:125" x14ac:dyDescent="0.3">
      <c r="A31" s="10">
        <v>23</v>
      </c>
      <c r="B31" s="4" t="s">
        <v>26</v>
      </c>
      <c r="C31" s="4" t="s">
        <v>67</v>
      </c>
      <c r="D31" s="11">
        <v>45903</v>
      </c>
      <c r="E31" s="4">
        <v>1.25</v>
      </c>
      <c r="F31" s="4" t="s">
        <v>14</v>
      </c>
    </row>
    <row r="32" spans="1:125" x14ac:dyDescent="0.3">
      <c r="A32" s="10">
        <v>24</v>
      </c>
      <c r="B32" s="4" t="s">
        <v>26</v>
      </c>
      <c r="C32" s="4" t="s">
        <v>79</v>
      </c>
      <c r="D32" s="11">
        <v>45903</v>
      </c>
      <c r="E32" s="4">
        <v>0.75</v>
      </c>
      <c r="F32" s="4" t="s">
        <v>14</v>
      </c>
    </row>
    <row r="33" spans="1:6" x14ac:dyDescent="0.3">
      <c r="A33" s="10">
        <v>25</v>
      </c>
      <c r="B33" s="4" t="s">
        <v>26</v>
      </c>
      <c r="C33" s="4" t="s">
        <v>80</v>
      </c>
      <c r="D33" s="11">
        <v>45903</v>
      </c>
      <c r="E33" s="4">
        <v>0.75</v>
      </c>
      <c r="F33" s="4" t="s">
        <v>14</v>
      </c>
    </row>
    <row r="34" spans="1:6" x14ac:dyDescent="0.3">
      <c r="A34" s="10">
        <v>26</v>
      </c>
      <c r="B34" s="4" t="s">
        <v>26</v>
      </c>
      <c r="C34" s="4" t="s">
        <v>92</v>
      </c>
      <c r="D34" s="11">
        <v>45903</v>
      </c>
      <c r="E34" s="4">
        <v>2</v>
      </c>
      <c r="F34" s="4" t="s">
        <v>14</v>
      </c>
    </row>
    <row r="35" spans="1:6" x14ac:dyDescent="0.3">
      <c r="A35" s="10">
        <v>27</v>
      </c>
      <c r="B35" s="4" t="s">
        <v>26</v>
      </c>
      <c r="C35" s="4" t="s">
        <v>27</v>
      </c>
      <c r="D35" s="11">
        <v>45904</v>
      </c>
      <c r="E35" s="4">
        <v>0.25</v>
      </c>
      <c r="F35" s="4" t="s">
        <v>14</v>
      </c>
    </row>
    <row r="36" spans="1:6" x14ac:dyDescent="0.3">
      <c r="A36" s="10">
        <v>28</v>
      </c>
      <c r="B36" s="4" t="s">
        <v>29</v>
      </c>
      <c r="C36" s="4" t="s">
        <v>28</v>
      </c>
      <c r="D36" s="11">
        <v>45904</v>
      </c>
      <c r="E36" s="4">
        <v>0.5</v>
      </c>
      <c r="F36" s="4" t="s">
        <v>14</v>
      </c>
    </row>
    <row r="37" spans="1:6" x14ac:dyDescent="0.3">
      <c r="A37" s="10">
        <v>29</v>
      </c>
      <c r="B37" s="4" t="s">
        <v>26</v>
      </c>
      <c r="C37" s="4" t="s">
        <v>40</v>
      </c>
      <c r="D37" s="11">
        <v>45904</v>
      </c>
      <c r="E37" s="4">
        <v>0.5</v>
      </c>
      <c r="F37" s="4" t="s">
        <v>14</v>
      </c>
    </row>
    <row r="38" spans="1:6" x14ac:dyDescent="0.3">
      <c r="A38" s="10">
        <v>30</v>
      </c>
      <c r="B38" s="4" t="s">
        <v>26</v>
      </c>
      <c r="C38" s="12" t="s">
        <v>39</v>
      </c>
      <c r="D38" s="11">
        <v>45904</v>
      </c>
      <c r="E38" s="4">
        <v>0.75</v>
      </c>
      <c r="F38" s="4" t="s">
        <v>14</v>
      </c>
    </row>
    <row r="39" spans="1:6" x14ac:dyDescent="0.3">
      <c r="A39" s="10">
        <v>31</v>
      </c>
      <c r="B39" s="4" t="s">
        <v>26</v>
      </c>
      <c r="C39" s="12" t="s">
        <v>37</v>
      </c>
      <c r="D39" s="11">
        <v>45904</v>
      </c>
      <c r="E39" s="4">
        <v>2.5</v>
      </c>
      <c r="F39" s="4" t="s">
        <v>14</v>
      </c>
    </row>
    <row r="40" spans="1:6" x14ac:dyDescent="0.3">
      <c r="A40" s="10">
        <v>32</v>
      </c>
      <c r="B40" s="4" t="s">
        <v>26</v>
      </c>
      <c r="C40" s="12" t="s">
        <v>81</v>
      </c>
      <c r="D40" s="11">
        <v>45904</v>
      </c>
      <c r="E40" s="4">
        <v>0.25</v>
      </c>
      <c r="F40" s="4" t="s">
        <v>14</v>
      </c>
    </row>
    <row r="41" spans="1:6" x14ac:dyDescent="0.3">
      <c r="A41" s="10">
        <v>33</v>
      </c>
      <c r="B41" s="4" t="s">
        <v>26</v>
      </c>
      <c r="C41" s="12" t="s">
        <v>94</v>
      </c>
      <c r="D41" s="11">
        <v>45904</v>
      </c>
      <c r="E41" s="4">
        <v>3.25</v>
      </c>
      <c r="F41" s="4" t="s">
        <v>14</v>
      </c>
    </row>
    <row r="42" spans="1:6" x14ac:dyDescent="0.3">
      <c r="A42" s="10">
        <v>34</v>
      </c>
      <c r="B42" s="4" t="s">
        <v>26</v>
      </c>
      <c r="C42" s="4" t="s">
        <v>27</v>
      </c>
      <c r="D42" s="11">
        <v>45905</v>
      </c>
      <c r="E42" s="4">
        <v>0.5</v>
      </c>
      <c r="F42" s="4" t="s">
        <v>14</v>
      </c>
    </row>
    <row r="43" spans="1:6" x14ac:dyDescent="0.3">
      <c r="A43" s="10">
        <v>35</v>
      </c>
      <c r="B43" s="4" t="s">
        <v>26</v>
      </c>
      <c r="C43" s="12" t="s">
        <v>28</v>
      </c>
      <c r="D43" s="11">
        <v>45905</v>
      </c>
      <c r="E43" s="4">
        <v>0.5</v>
      </c>
      <c r="F43" s="4" t="s">
        <v>14</v>
      </c>
    </row>
    <row r="44" spans="1:6" x14ac:dyDescent="0.3">
      <c r="A44" s="10">
        <v>36</v>
      </c>
      <c r="B44" s="4" t="s">
        <v>26</v>
      </c>
      <c r="C44" s="4" t="s">
        <v>68</v>
      </c>
      <c r="D44" s="11">
        <v>45905</v>
      </c>
      <c r="E44" s="4">
        <v>1</v>
      </c>
      <c r="F44" s="4" t="s">
        <v>14</v>
      </c>
    </row>
    <row r="45" spans="1:6" x14ac:dyDescent="0.3">
      <c r="A45" s="10">
        <v>37</v>
      </c>
      <c r="B45" s="4" t="s">
        <v>26</v>
      </c>
      <c r="C45" s="4" t="s">
        <v>82</v>
      </c>
      <c r="D45" s="11">
        <v>45905</v>
      </c>
      <c r="E45" s="4">
        <v>1.25</v>
      </c>
      <c r="F45" s="4" t="s">
        <v>14</v>
      </c>
    </row>
    <row r="46" spans="1:6" x14ac:dyDescent="0.3">
      <c r="A46" s="10">
        <v>38</v>
      </c>
      <c r="B46" s="4" t="s">
        <v>26</v>
      </c>
      <c r="C46" s="4" t="s">
        <v>103</v>
      </c>
      <c r="D46" s="11">
        <v>45905</v>
      </c>
      <c r="E46" s="4">
        <v>3.25</v>
      </c>
      <c r="F46" s="4" t="s">
        <v>14</v>
      </c>
    </row>
    <row r="47" spans="1:6" x14ac:dyDescent="0.3">
      <c r="A47" s="10">
        <v>39</v>
      </c>
      <c r="B47" s="4" t="s">
        <v>26</v>
      </c>
      <c r="C47" s="4" t="s">
        <v>96</v>
      </c>
      <c r="D47" s="11">
        <v>45905</v>
      </c>
      <c r="E47" s="4">
        <v>1.5</v>
      </c>
      <c r="F47" s="4" t="s">
        <v>14</v>
      </c>
    </row>
    <row r="48" spans="1:6" x14ac:dyDescent="0.3">
      <c r="A48" s="10">
        <v>40</v>
      </c>
      <c r="B48" s="4" t="s">
        <v>26</v>
      </c>
      <c r="C48" s="4" t="s">
        <v>27</v>
      </c>
      <c r="D48" s="11">
        <v>45908</v>
      </c>
      <c r="E48" s="4">
        <v>0.25</v>
      </c>
      <c r="F48" s="4" t="s">
        <v>14</v>
      </c>
    </row>
    <row r="49" spans="1:6" x14ac:dyDescent="0.3">
      <c r="A49" s="10">
        <v>41</v>
      </c>
      <c r="B49" s="4" t="s">
        <v>29</v>
      </c>
      <c r="C49" s="4" t="s">
        <v>28</v>
      </c>
      <c r="D49" s="11">
        <v>45908</v>
      </c>
      <c r="E49" s="4">
        <v>0.25</v>
      </c>
      <c r="F49" s="4" t="s">
        <v>14</v>
      </c>
    </row>
    <row r="50" spans="1:6" x14ac:dyDescent="0.3">
      <c r="A50" s="10">
        <v>42</v>
      </c>
      <c r="B50" s="4" t="s">
        <v>26</v>
      </c>
      <c r="C50" s="4" t="s">
        <v>38</v>
      </c>
      <c r="D50" s="11">
        <v>45908</v>
      </c>
      <c r="E50" s="4">
        <v>0.5</v>
      </c>
      <c r="F50" s="4" t="s">
        <v>14</v>
      </c>
    </row>
    <row r="51" spans="1:6" x14ac:dyDescent="0.3">
      <c r="A51" s="10">
        <v>43</v>
      </c>
      <c r="B51" s="4" t="s">
        <v>26</v>
      </c>
      <c r="C51" s="4" t="s">
        <v>35</v>
      </c>
      <c r="D51" s="11">
        <v>45908</v>
      </c>
      <c r="E51" s="4">
        <v>2</v>
      </c>
      <c r="F51" s="4" t="s">
        <v>14</v>
      </c>
    </row>
    <row r="52" spans="1:6" x14ac:dyDescent="0.3">
      <c r="A52" s="10">
        <v>44</v>
      </c>
      <c r="B52" s="4" t="s">
        <v>26</v>
      </c>
      <c r="C52" s="4" t="s">
        <v>36</v>
      </c>
      <c r="D52" s="11">
        <v>45908</v>
      </c>
      <c r="E52" s="4">
        <v>0.75</v>
      </c>
      <c r="F52" s="4" t="s">
        <v>14</v>
      </c>
    </row>
    <row r="53" spans="1:6" x14ac:dyDescent="0.3">
      <c r="A53" s="10">
        <v>45</v>
      </c>
      <c r="B53" s="4" t="s">
        <v>26</v>
      </c>
      <c r="C53" s="4" t="s">
        <v>42</v>
      </c>
      <c r="D53" s="11">
        <v>45908</v>
      </c>
      <c r="E53" s="4">
        <v>0.5</v>
      </c>
      <c r="F53" s="4" t="s">
        <v>14</v>
      </c>
    </row>
    <row r="54" spans="1:6" x14ac:dyDescent="0.3">
      <c r="A54" s="10">
        <v>46</v>
      </c>
      <c r="B54" s="4" t="s">
        <v>26</v>
      </c>
      <c r="C54" s="4" t="s">
        <v>69</v>
      </c>
      <c r="D54" s="11">
        <v>45908</v>
      </c>
      <c r="E54" s="4">
        <v>0.25</v>
      </c>
      <c r="F54" s="4" t="s">
        <v>14</v>
      </c>
    </row>
    <row r="55" spans="1:6" x14ac:dyDescent="0.3">
      <c r="A55" s="10">
        <v>47</v>
      </c>
      <c r="B55" s="4" t="s">
        <v>26</v>
      </c>
      <c r="C55" s="4" t="s">
        <v>103</v>
      </c>
      <c r="D55" s="11">
        <v>45908</v>
      </c>
      <c r="E55" s="4">
        <v>2</v>
      </c>
      <c r="F55" s="4" t="s">
        <v>14</v>
      </c>
    </row>
    <row r="56" spans="1:6" x14ac:dyDescent="0.3">
      <c r="A56" s="10">
        <v>48</v>
      </c>
      <c r="B56" s="4" t="s">
        <v>26</v>
      </c>
      <c r="C56" s="4" t="s">
        <v>95</v>
      </c>
      <c r="D56" s="11">
        <v>45908</v>
      </c>
      <c r="E56" s="4">
        <v>1.5</v>
      </c>
      <c r="F56" s="4" t="s">
        <v>14</v>
      </c>
    </row>
    <row r="57" spans="1:6" x14ac:dyDescent="0.3">
      <c r="A57" s="10">
        <v>49</v>
      </c>
      <c r="B57" s="4" t="s">
        <v>26</v>
      </c>
      <c r="C57" s="12" t="s">
        <v>27</v>
      </c>
      <c r="D57" s="11">
        <v>45909</v>
      </c>
      <c r="E57" s="4">
        <v>0.25</v>
      </c>
      <c r="F57" s="12" t="s">
        <v>14</v>
      </c>
    </row>
    <row r="58" spans="1:6" x14ac:dyDescent="0.3">
      <c r="A58" s="10">
        <v>50</v>
      </c>
      <c r="B58" s="4" t="s">
        <v>29</v>
      </c>
      <c r="C58" s="12" t="s">
        <v>28</v>
      </c>
      <c r="D58" s="11">
        <v>45909</v>
      </c>
      <c r="E58" s="4">
        <v>0.5</v>
      </c>
      <c r="F58" s="12" t="s">
        <v>14</v>
      </c>
    </row>
    <row r="59" spans="1:6" x14ac:dyDescent="0.3">
      <c r="A59" s="10">
        <v>51</v>
      </c>
      <c r="B59" s="4" t="s">
        <v>26</v>
      </c>
      <c r="C59" s="12" t="s">
        <v>31</v>
      </c>
      <c r="D59" s="11">
        <v>45909</v>
      </c>
      <c r="E59" s="4">
        <v>0.75</v>
      </c>
      <c r="F59" s="12" t="s">
        <v>14</v>
      </c>
    </row>
    <row r="60" spans="1:6" x14ac:dyDescent="0.3">
      <c r="A60" s="10">
        <v>52</v>
      </c>
      <c r="B60" s="4" t="s">
        <v>26</v>
      </c>
      <c r="C60" s="12" t="s">
        <v>43</v>
      </c>
      <c r="D60" s="11">
        <v>45909</v>
      </c>
      <c r="E60" s="4">
        <v>1.75</v>
      </c>
      <c r="F60" s="12" t="s">
        <v>14</v>
      </c>
    </row>
    <row r="61" spans="1:6" x14ac:dyDescent="0.3">
      <c r="A61" s="10">
        <v>53</v>
      </c>
      <c r="B61" s="4" t="s">
        <v>26</v>
      </c>
      <c r="C61" s="12" t="s">
        <v>46</v>
      </c>
      <c r="D61" s="11">
        <v>45909</v>
      </c>
      <c r="E61" s="4">
        <v>1</v>
      </c>
      <c r="F61" s="12" t="s">
        <v>14</v>
      </c>
    </row>
    <row r="62" spans="1:6" x14ac:dyDescent="0.3">
      <c r="A62" s="10">
        <v>54</v>
      </c>
      <c r="B62" s="4" t="s">
        <v>26</v>
      </c>
      <c r="C62" s="12" t="s">
        <v>31</v>
      </c>
      <c r="D62" s="11">
        <v>45909</v>
      </c>
      <c r="E62" s="4">
        <v>0.75</v>
      </c>
      <c r="F62" s="12" t="s">
        <v>14</v>
      </c>
    </row>
    <row r="63" spans="1:6" x14ac:dyDescent="0.3">
      <c r="A63" s="10">
        <v>55</v>
      </c>
      <c r="B63" s="4" t="s">
        <v>26</v>
      </c>
      <c r="C63" s="12" t="s">
        <v>97</v>
      </c>
      <c r="D63" s="11">
        <v>45909</v>
      </c>
      <c r="E63" s="4">
        <v>3</v>
      </c>
      <c r="F63" s="12" t="s">
        <v>14</v>
      </c>
    </row>
    <row r="64" spans="1:6" x14ac:dyDescent="0.3">
      <c r="A64" s="10">
        <v>56</v>
      </c>
      <c r="B64" s="4" t="s">
        <v>26</v>
      </c>
      <c r="C64" s="12" t="s">
        <v>27</v>
      </c>
      <c r="D64" s="11">
        <v>45910</v>
      </c>
      <c r="E64" s="4">
        <v>0.25</v>
      </c>
      <c r="F64" s="4" t="s">
        <v>14</v>
      </c>
    </row>
    <row r="65" spans="1:6" x14ac:dyDescent="0.3">
      <c r="A65" s="10">
        <v>57</v>
      </c>
      <c r="B65" s="4" t="s">
        <v>29</v>
      </c>
      <c r="C65" s="12" t="s">
        <v>28</v>
      </c>
      <c r="D65" s="11">
        <v>45910</v>
      </c>
      <c r="E65" s="4">
        <v>0.25</v>
      </c>
      <c r="F65" s="4" t="s">
        <v>14</v>
      </c>
    </row>
    <row r="66" spans="1:6" x14ac:dyDescent="0.3">
      <c r="A66" s="10">
        <v>58</v>
      </c>
      <c r="B66" s="4" t="s">
        <v>26</v>
      </c>
      <c r="C66" s="12" t="s">
        <v>44</v>
      </c>
      <c r="D66" s="11">
        <v>45910</v>
      </c>
      <c r="E66" s="4">
        <v>1.75</v>
      </c>
      <c r="F66" s="12" t="s">
        <v>14</v>
      </c>
    </row>
    <row r="67" spans="1:6" x14ac:dyDescent="0.3">
      <c r="A67" s="10">
        <v>59</v>
      </c>
      <c r="B67" s="4" t="s">
        <v>26</v>
      </c>
      <c r="C67" s="12" t="s">
        <v>45</v>
      </c>
      <c r="D67" s="11">
        <v>45910</v>
      </c>
      <c r="E67" s="4">
        <v>1.5</v>
      </c>
      <c r="F67" s="12" t="s">
        <v>14</v>
      </c>
    </row>
    <row r="68" spans="1:6" x14ac:dyDescent="0.3">
      <c r="A68" s="10">
        <v>60</v>
      </c>
      <c r="B68" s="4" t="s">
        <v>26</v>
      </c>
      <c r="C68" s="12" t="s">
        <v>70</v>
      </c>
      <c r="D68" s="11">
        <v>45910</v>
      </c>
      <c r="E68" s="4">
        <v>0.25</v>
      </c>
      <c r="F68" s="12" t="s">
        <v>14</v>
      </c>
    </row>
    <row r="69" spans="1:6" x14ac:dyDescent="0.3">
      <c r="A69" s="10">
        <v>61</v>
      </c>
      <c r="B69" s="4" t="s">
        <v>26</v>
      </c>
      <c r="C69" s="12" t="s">
        <v>64</v>
      </c>
      <c r="D69" s="11">
        <v>45910</v>
      </c>
      <c r="E69" s="4">
        <v>1</v>
      </c>
      <c r="F69" s="12" t="s">
        <v>14</v>
      </c>
    </row>
    <row r="70" spans="1:6" x14ac:dyDescent="0.3">
      <c r="A70" s="10">
        <v>62</v>
      </c>
      <c r="B70" s="4" t="s">
        <v>26</v>
      </c>
      <c r="C70" s="12" t="s">
        <v>97</v>
      </c>
      <c r="D70" s="11">
        <v>45910</v>
      </c>
      <c r="E70" s="4">
        <v>1</v>
      </c>
      <c r="F70" s="12" t="s">
        <v>14</v>
      </c>
    </row>
    <row r="71" spans="1:6" x14ac:dyDescent="0.3">
      <c r="A71" s="10">
        <v>63</v>
      </c>
      <c r="B71" s="4" t="s">
        <v>26</v>
      </c>
      <c r="C71" s="12" t="s">
        <v>98</v>
      </c>
      <c r="D71" s="11">
        <v>45910</v>
      </c>
      <c r="E71" s="4">
        <v>2</v>
      </c>
      <c r="F71" s="4" t="s">
        <v>14</v>
      </c>
    </row>
    <row r="72" spans="1:6" x14ac:dyDescent="0.3">
      <c r="A72" s="10">
        <v>64</v>
      </c>
      <c r="B72" s="4" t="s">
        <v>26</v>
      </c>
      <c r="C72" s="4" t="s">
        <v>30</v>
      </c>
      <c r="D72" s="11">
        <v>45911</v>
      </c>
      <c r="E72" s="4">
        <v>2.25</v>
      </c>
      <c r="F72" s="4" t="s">
        <v>14</v>
      </c>
    </row>
    <row r="73" spans="1:6" x14ac:dyDescent="0.3">
      <c r="A73" s="10">
        <v>65</v>
      </c>
      <c r="B73" s="4" t="s">
        <v>26</v>
      </c>
      <c r="C73" s="4" t="s">
        <v>42</v>
      </c>
      <c r="D73" s="11">
        <v>45911</v>
      </c>
      <c r="E73" s="4">
        <v>2</v>
      </c>
      <c r="F73" s="4" t="s">
        <v>14</v>
      </c>
    </row>
    <row r="74" spans="1:6" x14ac:dyDescent="0.3">
      <c r="A74" s="10">
        <v>66</v>
      </c>
      <c r="B74" s="4" t="s">
        <v>26</v>
      </c>
      <c r="C74" s="4" t="s">
        <v>64</v>
      </c>
      <c r="D74" s="11">
        <v>45911</v>
      </c>
      <c r="E74" s="4">
        <v>0.5</v>
      </c>
      <c r="F74" s="4" t="s">
        <v>14</v>
      </c>
    </row>
    <row r="75" spans="1:6" x14ac:dyDescent="0.3">
      <c r="A75" s="10">
        <v>67</v>
      </c>
      <c r="B75" s="4" t="s">
        <v>26</v>
      </c>
      <c r="C75" s="4" t="s">
        <v>63</v>
      </c>
      <c r="D75" s="11">
        <v>45911</v>
      </c>
      <c r="E75" s="4">
        <v>0.25</v>
      </c>
      <c r="F75" s="4" t="s">
        <v>14</v>
      </c>
    </row>
    <row r="76" spans="1:6" x14ac:dyDescent="0.3">
      <c r="A76" s="10">
        <v>68</v>
      </c>
      <c r="B76" s="4" t="s">
        <v>26</v>
      </c>
      <c r="C76" s="4" t="s">
        <v>83</v>
      </c>
      <c r="D76" s="11">
        <v>45911</v>
      </c>
      <c r="E76" s="4">
        <v>1</v>
      </c>
      <c r="F76" s="4" t="s">
        <v>14</v>
      </c>
    </row>
    <row r="77" spans="1:6" x14ac:dyDescent="0.3">
      <c r="A77" s="10">
        <v>69</v>
      </c>
      <c r="B77" s="4" t="s">
        <v>26</v>
      </c>
      <c r="C77" s="4" t="s">
        <v>99</v>
      </c>
      <c r="D77" s="11">
        <v>45911</v>
      </c>
      <c r="E77" s="4">
        <v>1</v>
      </c>
      <c r="F77" s="4" t="s">
        <v>14</v>
      </c>
    </row>
    <row r="78" spans="1:6" x14ac:dyDescent="0.3">
      <c r="A78" s="10">
        <v>70</v>
      </c>
      <c r="B78" s="4" t="s">
        <v>26</v>
      </c>
      <c r="C78" s="4" t="s">
        <v>100</v>
      </c>
      <c r="D78" s="11">
        <v>45911</v>
      </c>
      <c r="E78" s="4">
        <v>1</v>
      </c>
      <c r="F78" s="4" t="s">
        <v>14</v>
      </c>
    </row>
    <row r="79" spans="1:6" x14ac:dyDescent="0.3">
      <c r="A79" s="10">
        <v>71</v>
      </c>
      <c r="B79" s="4" t="s">
        <v>26</v>
      </c>
      <c r="C79" s="4" t="s">
        <v>27</v>
      </c>
      <c r="D79" s="11">
        <v>45912</v>
      </c>
      <c r="E79" s="4">
        <v>0.25</v>
      </c>
      <c r="F79" s="4" t="s">
        <v>14</v>
      </c>
    </row>
    <row r="80" spans="1:6" x14ac:dyDescent="0.3">
      <c r="A80" s="10">
        <v>72</v>
      </c>
      <c r="B80" s="4" t="s">
        <v>26</v>
      </c>
      <c r="C80" s="4" t="s">
        <v>28</v>
      </c>
      <c r="D80" s="11">
        <v>45912</v>
      </c>
      <c r="E80" s="4">
        <v>0.75</v>
      </c>
      <c r="F80" s="4" t="s">
        <v>14</v>
      </c>
    </row>
    <row r="81" spans="1:6" x14ac:dyDescent="0.3">
      <c r="A81" s="10">
        <v>73</v>
      </c>
      <c r="B81" s="4" t="s">
        <v>26</v>
      </c>
      <c r="C81" s="4" t="s">
        <v>47</v>
      </c>
      <c r="D81" s="11">
        <v>45912</v>
      </c>
      <c r="E81" s="4">
        <v>1.25</v>
      </c>
      <c r="F81" s="4" t="s">
        <v>14</v>
      </c>
    </row>
    <row r="82" spans="1:6" x14ac:dyDescent="0.3">
      <c r="A82" s="10">
        <v>74</v>
      </c>
      <c r="B82" s="4" t="s">
        <v>26</v>
      </c>
      <c r="C82" s="4" t="s">
        <v>71</v>
      </c>
      <c r="D82" s="11">
        <v>45912</v>
      </c>
      <c r="E82" s="4">
        <v>0.25</v>
      </c>
      <c r="F82" s="4" t="s">
        <v>14</v>
      </c>
    </row>
    <row r="83" spans="1:6" x14ac:dyDescent="0.3">
      <c r="A83" s="10">
        <v>75</v>
      </c>
      <c r="B83" s="4" t="s">
        <v>26</v>
      </c>
      <c r="C83" s="4" t="s">
        <v>72</v>
      </c>
      <c r="D83" s="11">
        <v>45912</v>
      </c>
      <c r="E83" s="4">
        <v>0.25</v>
      </c>
      <c r="F83" s="4" t="s">
        <v>14</v>
      </c>
    </row>
    <row r="84" spans="1:6" x14ac:dyDescent="0.3">
      <c r="A84" s="10">
        <v>76</v>
      </c>
      <c r="B84" s="4" t="s">
        <v>26</v>
      </c>
      <c r="C84" s="4" t="s">
        <v>64</v>
      </c>
      <c r="D84" s="11">
        <v>45912</v>
      </c>
      <c r="E84" s="4">
        <v>1</v>
      </c>
      <c r="F84" s="4" t="s">
        <v>14</v>
      </c>
    </row>
    <row r="85" spans="1:6" x14ac:dyDescent="0.3">
      <c r="A85" s="10">
        <v>77</v>
      </c>
      <c r="B85" s="4" t="s">
        <v>26</v>
      </c>
      <c r="C85" s="4" t="s">
        <v>101</v>
      </c>
      <c r="D85" s="11">
        <v>45912</v>
      </c>
      <c r="E85" s="4">
        <v>1</v>
      </c>
      <c r="F85" s="4" t="s">
        <v>14</v>
      </c>
    </row>
    <row r="86" spans="1:6" x14ac:dyDescent="0.3">
      <c r="A86" s="10">
        <v>78</v>
      </c>
      <c r="B86" s="4" t="s">
        <v>26</v>
      </c>
      <c r="C86" s="4" t="s">
        <v>102</v>
      </c>
      <c r="D86" s="11">
        <v>45912</v>
      </c>
      <c r="E86" s="4">
        <v>1</v>
      </c>
      <c r="F86" s="4" t="s">
        <v>14</v>
      </c>
    </row>
    <row r="87" spans="1:6" x14ac:dyDescent="0.3">
      <c r="A87" s="10">
        <v>79</v>
      </c>
      <c r="B87" s="4" t="s">
        <v>26</v>
      </c>
      <c r="C87" s="4" t="s">
        <v>104</v>
      </c>
      <c r="D87" s="11">
        <v>45912</v>
      </c>
      <c r="E87" s="4">
        <v>2.25</v>
      </c>
      <c r="F87" s="4" t="s">
        <v>14</v>
      </c>
    </row>
    <row r="88" spans="1:6" x14ac:dyDescent="0.3">
      <c r="A88" s="10">
        <v>80</v>
      </c>
      <c r="B88" s="4" t="s">
        <v>26</v>
      </c>
      <c r="C88" s="4" t="s">
        <v>27</v>
      </c>
      <c r="D88" s="11">
        <v>45915</v>
      </c>
      <c r="E88" s="4">
        <v>0.25</v>
      </c>
      <c r="F88" s="4" t="s">
        <v>14</v>
      </c>
    </row>
    <row r="89" spans="1:6" x14ac:dyDescent="0.3">
      <c r="A89" s="10">
        <v>81</v>
      </c>
      <c r="B89" s="4" t="s">
        <v>26</v>
      </c>
      <c r="C89" s="4" t="s">
        <v>28</v>
      </c>
      <c r="D89" s="11">
        <v>45915</v>
      </c>
      <c r="E89" s="4">
        <v>0.75</v>
      </c>
      <c r="F89" s="4" t="s">
        <v>14</v>
      </c>
    </row>
    <row r="90" spans="1:6" x14ac:dyDescent="0.3">
      <c r="A90" s="10">
        <v>82</v>
      </c>
      <c r="B90" s="4" t="s">
        <v>26</v>
      </c>
      <c r="C90" s="4" t="s">
        <v>48</v>
      </c>
      <c r="D90" s="11">
        <v>45915</v>
      </c>
      <c r="E90" s="4">
        <v>0.5</v>
      </c>
      <c r="F90" s="4" t="s">
        <v>14</v>
      </c>
    </row>
    <row r="91" spans="1:6" x14ac:dyDescent="0.3">
      <c r="A91" s="10">
        <v>83</v>
      </c>
      <c r="B91" s="4" t="s">
        <v>26</v>
      </c>
      <c r="C91" s="4" t="s">
        <v>84</v>
      </c>
      <c r="D91" s="11">
        <v>45915</v>
      </c>
      <c r="E91" s="4">
        <v>0.5</v>
      </c>
      <c r="F91" s="4" t="s">
        <v>14</v>
      </c>
    </row>
    <row r="92" spans="1:6" x14ac:dyDescent="0.3">
      <c r="A92" s="10">
        <v>84</v>
      </c>
      <c r="B92" s="4" t="s">
        <v>26</v>
      </c>
      <c r="C92" s="4" t="s">
        <v>105</v>
      </c>
      <c r="D92" s="11">
        <v>45915</v>
      </c>
      <c r="E92" s="4">
        <v>4.75</v>
      </c>
      <c r="F92" s="4" t="s">
        <v>14</v>
      </c>
    </row>
    <row r="93" spans="1:6" x14ac:dyDescent="0.3">
      <c r="A93" s="10">
        <v>85</v>
      </c>
      <c r="B93" s="4" t="s">
        <v>26</v>
      </c>
      <c r="C93" s="4" t="s">
        <v>106</v>
      </c>
      <c r="D93" s="11">
        <v>45915</v>
      </c>
      <c r="E93" s="4">
        <v>1.25</v>
      </c>
      <c r="F93" s="4" t="s">
        <v>14</v>
      </c>
    </row>
    <row r="94" spans="1:6" x14ac:dyDescent="0.3">
      <c r="A94" s="10">
        <v>86</v>
      </c>
      <c r="B94" s="4" t="s">
        <v>26</v>
      </c>
      <c r="C94" s="4" t="s">
        <v>27</v>
      </c>
      <c r="D94" s="11">
        <v>45916</v>
      </c>
      <c r="E94" s="4">
        <v>0.25</v>
      </c>
      <c r="F94" s="4" t="s">
        <v>14</v>
      </c>
    </row>
    <row r="95" spans="1:6" x14ac:dyDescent="0.3">
      <c r="A95" s="10">
        <v>87</v>
      </c>
      <c r="B95" s="4" t="s">
        <v>29</v>
      </c>
      <c r="C95" s="4" t="s">
        <v>28</v>
      </c>
      <c r="D95" s="11">
        <v>45916</v>
      </c>
      <c r="E95" s="4">
        <v>0.5</v>
      </c>
      <c r="F95" s="4" t="s">
        <v>14</v>
      </c>
    </row>
    <row r="96" spans="1:6" x14ac:dyDescent="0.3">
      <c r="A96" s="10">
        <v>88</v>
      </c>
      <c r="B96" s="4" t="s">
        <v>26</v>
      </c>
      <c r="C96" s="4" t="s">
        <v>31</v>
      </c>
      <c r="D96" s="11">
        <v>45916</v>
      </c>
      <c r="E96" s="4">
        <v>1.5</v>
      </c>
      <c r="F96" s="4" t="s">
        <v>14</v>
      </c>
    </row>
    <row r="97" spans="1:6" x14ac:dyDescent="0.3">
      <c r="A97" s="10">
        <v>89</v>
      </c>
      <c r="B97" s="4" t="s">
        <v>26</v>
      </c>
      <c r="C97" s="4" t="s">
        <v>49</v>
      </c>
      <c r="D97" s="11">
        <v>45916</v>
      </c>
      <c r="E97" s="4">
        <v>1.25</v>
      </c>
      <c r="F97" s="4" t="s">
        <v>14</v>
      </c>
    </row>
    <row r="98" spans="1:6" x14ac:dyDescent="0.3">
      <c r="A98" s="10">
        <v>90</v>
      </c>
      <c r="B98" s="4" t="s">
        <v>26</v>
      </c>
      <c r="C98" s="4" t="s">
        <v>31</v>
      </c>
      <c r="D98" s="11">
        <v>45916</v>
      </c>
      <c r="E98" s="4">
        <v>1.5</v>
      </c>
      <c r="F98" s="4" t="s">
        <v>14</v>
      </c>
    </row>
    <row r="99" spans="1:6" x14ac:dyDescent="0.3">
      <c r="A99" s="10">
        <v>91</v>
      </c>
      <c r="B99" s="4" t="s">
        <v>26</v>
      </c>
      <c r="C99" s="4" t="s">
        <v>73</v>
      </c>
      <c r="D99" s="11">
        <v>45916</v>
      </c>
      <c r="E99" s="4">
        <v>0.5</v>
      </c>
      <c r="F99" s="4" t="s">
        <v>14</v>
      </c>
    </row>
    <row r="100" spans="1:6" x14ac:dyDescent="0.3">
      <c r="A100" s="10">
        <v>92</v>
      </c>
      <c r="B100" s="4" t="s">
        <v>26</v>
      </c>
      <c r="C100" s="4" t="s">
        <v>105</v>
      </c>
      <c r="D100" s="11">
        <v>45916</v>
      </c>
      <c r="E100" s="4">
        <v>1.5</v>
      </c>
      <c r="F100" s="4" t="s">
        <v>14</v>
      </c>
    </row>
    <row r="101" spans="1:6" x14ac:dyDescent="0.3">
      <c r="A101" s="10">
        <v>93</v>
      </c>
      <c r="B101" s="4" t="s">
        <v>26</v>
      </c>
      <c r="C101" s="4" t="s">
        <v>107</v>
      </c>
      <c r="D101" s="11">
        <v>45916</v>
      </c>
      <c r="E101" s="4">
        <v>1</v>
      </c>
      <c r="F101" s="4" t="s">
        <v>14</v>
      </c>
    </row>
    <row r="102" spans="1:6" x14ac:dyDescent="0.3">
      <c r="A102" s="10">
        <v>94</v>
      </c>
      <c r="B102" s="4" t="s">
        <v>26</v>
      </c>
      <c r="C102" s="4" t="s">
        <v>27</v>
      </c>
      <c r="D102" s="11">
        <v>45917</v>
      </c>
      <c r="E102" s="4">
        <v>0.25</v>
      </c>
      <c r="F102" s="4" t="s">
        <v>14</v>
      </c>
    </row>
    <row r="103" spans="1:6" x14ac:dyDescent="0.3">
      <c r="A103" s="10">
        <v>95</v>
      </c>
      <c r="B103" s="4" t="s">
        <v>29</v>
      </c>
      <c r="C103" s="4" t="s">
        <v>28</v>
      </c>
      <c r="D103" s="11">
        <v>45917</v>
      </c>
      <c r="E103" s="4">
        <v>0.5</v>
      </c>
      <c r="F103" s="4" t="s">
        <v>14</v>
      </c>
    </row>
    <row r="104" spans="1:6" x14ac:dyDescent="0.3">
      <c r="A104" s="10">
        <v>96</v>
      </c>
      <c r="B104" s="4" t="s">
        <v>26</v>
      </c>
      <c r="C104" s="4" t="s">
        <v>50</v>
      </c>
      <c r="D104" s="11">
        <v>45917</v>
      </c>
      <c r="E104" s="4">
        <v>0.25</v>
      </c>
      <c r="F104" s="4" t="s">
        <v>14</v>
      </c>
    </row>
    <row r="105" spans="1:6" x14ac:dyDescent="0.3">
      <c r="A105" s="10">
        <v>97</v>
      </c>
      <c r="B105" s="4" t="s">
        <v>26</v>
      </c>
      <c r="C105" s="4" t="s">
        <v>52</v>
      </c>
      <c r="D105" s="11">
        <v>45917</v>
      </c>
      <c r="E105" s="4">
        <v>0.5</v>
      </c>
      <c r="F105" s="4" t="s">
        <v>14</v>
      </c>
    </row>
    <row r="106" spans="1:6" x14ac:dyDescent="0.3">
      <c r="A106" s="10">
        <v>98</v>
      </c>
      <c r="B106" s="4" t="s">
        <v>26</v>
      </c>
      <c r="C106" s="4" t="s">
        <v>65</v>
      </c>
      <c r="D106" s="11">
        <v>45917</v>
      </c>
      <c r="E106" s="4">
        <v>0.5</v>
      </c>
      <c r="F106" s="4" t="s">
        <v>14</v>
      </c>
    </row>
    <row r="107" spans="1:6" x14ac:dyDescent="0.3">
      <c r="A107" s="10">
        <v>99</v>
      </c>
      <c r="B107" s="4" t="s">
        <v>26</v>
      </c>
      <c r="C107" s="4" t="s">
        <v>86</v>
      </c>
      <c r="D107" s="11">
        <v>45917</v>
      </c>
      <c r="E107" s="4">
        <v>0.25</v>
      </c>
      <c r="F107" s="4" t="s">
        <v>14</v>
      </c>
    </row>
    <row r="108" spans="1:6" x14ac:dyDescent="0.3">
      <c r="A108" s="10">
        <v>100</v>
      </c>
      <c r="B108" s="4" t="s">
        <v>26</v>
      </c>
      <c r="C108" s="4" t="s">
        <v>87</v>
      </c>
      <c r="D108" s="11">
        <v>45917</v>
      </c>
      <c r="E108" s="4">
        <v>2</v>
      </c>
      <c r="F108" s="4" t="s">
        <v>14</v>
      </c>
    </row>
    <row r="109" spans="1:6" x14ac:dyDescent="0.3">
      <c r="A109" s="10">
        <v>101</v>
      </c>
      <c r="B109" s="4" t="s">
        <v>26</v>
      </c>
      <c r="C109" s="4" t="s">
        <v>107</v>
      </c>
      <c r="D109" s="11">
        <v>45917</v>
      </c>
      <c r="E109" s="4">
        <v>2.25</v>
      </c>
      <c r="F109" s="4" t="s">
        <v>14</v>
      </c>
    </row>
    <row r="110" spans="1:6" x14ac:dyDescent="0.3">
      <c r="A110" s="10">
        <v>102</v>
      </c>
      <c r="B110" s="4" t="s">
        <v>26</v>
      </c>
      <c r="C110" s="4" t="s">
        <v>96</v>
      </c>
      <c r="D110" s="11">
        <v>45917</v>
      </c>
      <c r="E110" s="4">
        <v>1.5</v>
      </c>
      <c r="F110" s="4" t="s">
        <v>14</v>
      </c>
    </row>
    <row r="111" spans="1:6" x14ac:dyDescent="0.3">
      <c r="A111" s="10">
        <v>103</v>
      </c>
      <c r="B111" s="4" t="s">
        <v>26</v>
      </c>
      <c r="C111" s="4" t="s">
        <v>27</v>
      </c>
      <c r="D111" s="11">
        <v>45918</v>
      </c>
      <c r="E111" s="4">
        <v>0.25</v>
      </c>
      <c r="F111" s="4" t="s">
        <v>14</v>
      </c>
    </row>
    <row r="112" spans="1:6" x14ac:dyDescent="0.3">
      <c r="A112" s="10">
        <v>104</v>
      </c>
      <c r="B112" s="4" t="s">
        <v>29</v>
      </c>
      <c r="C112" s="13" t="s">
        <v>28</v>
      </c>
      <c r="D112" s="11">
        <v>45918</v>
      </c>
      <c r="E112" s="4">
        <v>0.25</v>
      </c>
      <c r="F112" s="4" t="s">
        <v>14</v>
      </c>
    </row>
    <row r="113" spans="1:6" x14ac:dyDescent="0.3">
      <c r="A113" s="10">
        <v>105</v>
      </c>
      <c r="B113" s="4" t="s">
        <v>26</v>
      </c>
      <c r="C113" s="4" t="s">
        <v>53</v>
      </c>
      <c r="D113" s="11">
        <v>45918</v>
      </c>
      <c r="E113" s="4">
        <v>0.5</v>
      </c>
      <c r="F113" s="4" t="s">
        <v>14</v>
      </c>
    </row>
    <row r="114" spans="1:6" x14ac:dyDescent="0.3">
      <c r="A114" s="10">
        <v>106</v>
      </c>
      <c r="B114" s="4" t="s">
        <v>26</v>
      </c>
      <c r="C114" s="4" t="s">
        <v>65</v>
      </c>
      <c r="D114" s="11">
        <v>45918</v>
      </c>
      <c r="E114" s="4">
        <v>0.5</v>
      </c>
      <c r="F114" s="4" t="s">
        <v>14</v>
      </c>
    </row>
    <row r="115" spans="1:6" x14ac:dyDescent="0.3">
      <c r="A115" s="10">
        <v>107</v>
      </c>
      <c r="B115" s="4" t="s">
        <v>26</v>
      </c>
      <c r="C115" s="4" t="s">
        <v>85</v>
      </c>
      <c r="D115" s="11">
        <v>45918</v>
      </c>
      <c r="E115" s="4">
        <v>1</v>
      </c>
      <c r="F115" s="4" t="s">
        <v>14</v>
      </c>
    </row>
    <row r="116" spans="1:6" x14ac:dyDescent="0.3">
      <c r="A116" s="10">
        <v>108</v>
      </c>
      <c r="B116" s="4" t="s">
        <v>26</v>
      </c>
      <c r="C116" s="4" t="s">
        <v>108</v>
      </c>
      <c r="D116" s="11">
        <v>45918</v>
      </c>
      <c r="E116" s="4">
        <v>3</v>
      </c>
      <c r="F116" s="4" t="s">
        <v>14</v>
      </c>
    </row>
    <row r="117" spans="1:6" x14ac:dyDescent="0.3">
      <c r="A117" s="10">
        <v>109</v>
      </c>
      <c r="B117" s="4" t="s">
        <v>26</v>
      </c>
      <c r="C117" s="4" t="s">
        <v>109</v>
      </c>
      <c r="D117" s="11">
        <v>45918</v>
      </c>
      <c r="E117" s="4">
        <v>2.5</v>
      </c>
      <c r="F117" s="4" t="s">
        <v>14</v>
      </c>
    </row>
    <row r="118" spans="1:6" x14ac:dyDescent="0.3">
      <c r="A118" s="10">
        <v>110</v>
      </c>
      <c r="B118" s="4" t="s">
        <v>26</v>
      </c>
      <c r="C118" s="4" t="s">
        <v>27</v>
      </c>
      <c r="D118" s="11">
        <v>45919</v>
      </c>
      <c r="E118" s="4">
        <v>0.25</v>
      </c>
      <c r="F118" s="4" t="s">
        <v>14</v>
      </c>
    </row>
    <row r="119" spans="1:6" x14ac:dyDescent="0.3">
      <c r="A119" s="10">
        <v>111</v>
      </c>
      <c r="B119" s="4" t="s">
        <v>26</v>
      </c>
      <c r="C119" s="4" t="s">
        <v>28</v>
      </c>
      <c r="D119" s="11">
        <v>45919</v>
      </c>
      <c r="E119" s="4">
        <v>0.5</v>
      </c>
      <c r="F119" s="4" t="s">
        <v>14</v>
      </c>
    </row>
    <row r="120" spans="1:6" x14ac:dyDescent="0.3">
      <c r="A120" s="10">
        <v>112</v>
      </c>
      <c r="B120" s="4" t="s">
        <v>26</v>
      </c>
      <c r="C120" s="4" t="s">
        <v>54</v>
      </c>
      <c r="D120" s="11">
        <v>45919</v>
      </c>
      <c r="E120" s="4">
        <v>0.5</v>
      </c>
      <c r="F120" s="4" t="s">
        <v>14</v>
      </c>
    </row>
    <row r="121" spans="1:6" x14ac:dyDescent="0.3">
      <c r="A121" s="10">
        <v>113</v>
      </c>
      <c r="B121" s="4" t="s">
        <v>26</v>
      </c>
      <c r="C121" s="4" t="s">
        <v>42</v>
      </c>
      <c r="D121" s="11">
        <v>45919</v>
      </c>
      <c r="E121" s="4">
        <v>0.75</v>
      </c>
      <c r="F121" s="4" t="s">
        <v>14</v>
      </c>
    </row>
    <row r="122" spans="1:6" x14ac:dyDescent="0.3">
      <c r="A122" s="10">
        <v>114</v>
      </c>
      <c r="B122" s="4" t="s">
        <v>26</v>
      </c>
      <c r="C122" s="4" t="s">
        <v>73</v>
      </c>
      <c r="D122" s="11">
        <v>45919</v>
      </c>
      <c r="E122" s="4">
        <v>0.5</v>
      </c>
      <c r="F122" s="4" t="s">
        <v>14</v>
      </c>
    </row>
    <row r="123" spans="1:6" x14ac:dyDescent="0.3">
      <c r="A123" s="10">
        <v>115</v>
      </c>
      <c r="B123" s="4" t="s">
        <v>26</v>
      </c>
      <c r="C123" s="4" t="s">
        <v>74</v>
      </c>
      <c r="D123" s="11">
        <v>45919</v>
      </c>
      <c r="E123" s="4">
        <v>1.25</v>
      </c>
      <c r="F123" s="4" t="s">
        <v>14</v>
      </c>
    </row>
    <row r="124" spans="1:6" x14ac:dyDescent="0.3">
      <c r="A124" s="10">
        <v>116</v>
      </c>
      <c r="B124" s="4" t="s">
        <v>26</v>
      </c>
      <c r="C124" s="4" t="s">
        <v>110</v>
      </c>
      <c r="D124" s="11">
        <v>45919</v>
      </c>
      <c r="E124" s="4">
        <v>2.5</v>
      </c>
      <c r="F124" s="4" t="s">
        <v>14</v>
      </c>
    </row>
    <row r="125" spans="1:6" x14ac:dyDescent="0.3">
      <c r="A125" s="10">
        <v>117</v>
      </c>
      <c r="B125" s="4" t="s">
        <v>26</v>
      </c>
      <c r="C125" s="4" t="s">
        <v>96</v>
      </c>
      <c r="D125" s="11">
        <v>45919</v>
      </c>
      <c r="E125" s="4">
        <v>1.75</v>
      </c>
      <c r="F125" s="4" t="s">
        <v>14</v>
      </c>
    </row>
    <row r="126" spans="1:6" x14ac:dyDescent="0.3">
      <c r="A126" s="10">
        <v>118</v>
      </c>
      <c r="B126" s="4" t="s">
        <v>26</v>
      </c>
      <c r="C126" s="4" t="s">
        <v>27</v>
      </c>
      <c r="D126" s="11">
        <v>45922</v>
      </c>
      <c r="E126" s="4">
        <v>0.25</v>
      </c>
      <c r="F126" s="4" t="s">
        <v>14</v>
      </c>
    </row>
    <row r="127" spans="1:6" x14ac:dyDescent="0.3">
      <c r="A127" s="10">
        <v>119</v>
      </c>
      <c r="B127" s="4" t="s">
        <v>29</v>
      </c>
      <c r="C127" s="4" t="s">
        <v>28</v>
      </c>
      <c r="D127" s="11">
        <v>45922</v>
      </c>
      <c r="E127" s="4">
        <v>0.25</v>
      </c>
      <c r="F127" s="4" t="s">
        <v>14</v>
      </c>
    </row>
    <row r="128" spans="1:6" x14ac:dyDescent="0.3">
      <c r="A128" s="10">
        <v>120</v>
      </c>
      <c r="B128" s="4" t="s">
        <v>26</v>
      </c>
      <c r="C128" s="4" t="s">
        <v>61</v>
      </c>
      <c r="D128" s="11">
        <v>45922</v>
      </c>
      <c r="E128" s="4">
        <v>1</v>
      </c>
      <c r="F128" s="4" t="s">
        <v>14</v>
      </c>
    </row>
    <row r="129" spans="1:6" x14ac:dyDescent="0.3">
      <c r="A129" s="10">
        <v>121</v>
      </c>
      <c r="B129" s="4" t="s">
        <v>26</v>
      </c>
      <c r="C129" s="4" t="s">
        <v>65</v>
      </c>
      <c r="D129" s="11">
        <v>45922</v>
      </c>
      <c r="E129" s="4">
        <v>0.25</v>
      </c>
      <c r="F129" s="4" t="s">
        <v>14</v>
      </c>
    </row>
    <row r="130" spans="1:6" x14ac:dyDescent="0.3">
      <c r="A130" s="10">
        <v>122</v>
      </c>
      <c r="B130" s="4" t="s">
        <v>26</v>
      </c>
      <c r="C130" s="4" t="s">
        <v>73</v>
      </c>
      <c r="D130" s="11">
        <v>45922</v>
      </c>
      <c r="E130" s="4">
        <v>0.25</v>
      </c>
      <c r="F130" s="4" t="s">
        <v>14</v>
      </c>
    </row>
    <row r="131" spans="1:6" x14ac:dyDescent="0.3">
      <c r="A131" s="10">
        <v>123</v>
      </c>
      <c r="B131" s="4" t="s">
        <v>26</v>
      </c>
      <c r="C131" s="4" t="s">
        <v>88</v>
      </c>
      <c r="D131" s="11">
        <v>45922</v>
      </c>
      <c r="E131" s="4">
        <v>0.75</v>
      </c>
      <c r="F131" s="4" t="s">
        <v>14</v>
      </c>
    </row>
    <row r="132" spans="1:6" x14ac:dyDescent="0.3">
      <c r="A132" s="10">
        <v>124</v>
      </c>
      <c r="B132" s="4" t="s">
        <v>26</v>
      </c>
      <c r="C132" s="4" t="s">
        <v>89</v>
      </c>
      <c r="D132" s="11">
        <v>45922</v>
      </c>
      <c r="E132" s="4">
        <v>1.25</v>
      </c>
      <c r="F132" s="4" t="s">
        <v>14</v>
      </c>
    </row>
    <row r="133" spans="1:6" x14ac:dyDescent="0.3">
      <c r="A133" s="10">
        <v>125</v>
      </c>
      <c r="B133" s="4" t="s">
        <v>26</v>
      </c>
      <c r="C133" s="4" t="s">
        <v>111</v>
      </c>
      <c r="D133" s="11">
        <v>45922</v>
      </c>
      <c r="E133" s="4">
        <v>2</v>
      </c>
      <c r="F133" s="4" t="s">
        <v>14</v>
      </c>
    </row>
    <row r="134" spans="1:6" x14ac:dyDescent="0.3">
      <c r="A134" s="10">
        <v>126</v>
      </c>
      <c r="B134" s="4" t="s">
        <v>26</v>
      </c>
      <c r="C134" s="4" t="s">
        <v>112</v>
      </c>
      <c r="D134" s="11">
        <v>45922</v>
      </c>
      <c r="E134" s="4">
        <v>2</v>
      </c>
      <c r="F134" s="4" t="s">
        <v>14</v>
      </c>
    </row>
    <row r="135" spans="1:6" x14ac:dyDescent="0.3">
      <c r="A135" s="10">
        <v>127</v>
      </c>
      <c r="B135" s="4" t="s">
        <v>26</v>
      </c>
      <c r="C135" s="4" t="s">
        <v>27</v>
      </c>
      <c r="D135" s="11">
        <v>45923</v>
      </c>
      <c r="E135" s="4">
        <v>0.25</v>
      </c>
      <c r="F135" s="4" t="s">
        <v>14</v>
      </c>
    </row>
    <row r="136" spans="1:6" x14ac:dyDescent="0.3">
      <c r="A136" s="10">
        <v>128</v>
      </c>
      <c r="B136" s="4" t="s">
        <v>29</v>
      </c>
      <c r="C136" s="4" t="s">
        <v>28</v>
      </c>
      <c r="D136" s="11">
        <v>45923</v>
      </c>
      <c r="E136" s="4">
        <v>0.5</v>
      </c>
      <c r="F136" s="4" t="s">
        <v>14</v>
      </c>
    </row>
    <row r="137" spans="1:6" x14ac:dyDescent="0.3">
      <c r="A137" s="10">
        <v>129</v>
      </c>
      <c r="B137" s="4" t="s">
        <v>26</v>
      </c>
      <c r="C137" s="4" t="s">
        <v>57</v>
      </c>
      <c r="D137" s="11">
        <v>45923</v>
      </c>
      <c r="E137" s="4">
        <v>2</v>
      </c>
      <c r="F137" s="4" t="s">
        <v>14</v>
      </c>
    </row>
    <row r="138" spans="1:6" x14ac:dyDescent="0.3">
      <c r="A138" s="10">
        <v>130</v>
      </c>
      <c r="B138" s="4" t="s">
        <v>26</v>
      </c>
      <c r="C138" s="4" t="s">
        <v>61</v>
      </c>
      <c r="D138" s="11">
        <v>45923</v>
      </c>
      <c r="E138" s="4">
        <v>0.25</v>
      </c>
      <c r="F138" s="4" t="s">
        <v>14</v>
      </c>
    </row>
    <row r="139" spans="1:6" x14ac:dyDescent="0.3">
      <c r="A139" s="10">
        <v>131</v>
      </c>
      <c r="B139" s="4" t="s">
        <v>26</v>
      </c>
      <c r="C139" s="4" t="s">
        <v>64</v>
      </c>
      <c r="D139" s="11">
        <v>45923</v>
      </c>
      <c r="E139" s="4">
        <v>0.5</v>
      </c>
      <c r="F139" s="4" t="s">
        <v>14</v>
      </c>
    </row>
    <row r="140" spans="1:6" x14ac:dyDescent="0.3">
      <c r="A140" s="10">
        <v>132</v>
      </c>
      <c r="B140" s="4" t="s">
        <v>26</v>
      </c>
      <c r="C140" s="4" t="s">
        <v>112</v>
      </c>
      <c r="D140" s="11">
        <v>45923</v>
      </c>
      <c r="E140" s="4">
        <v>2.5</v>
      </c>
      <c r="F140" s="4" t="s">
        <v>14</v>
      </c>
    </row>
    <row r="141" spans="1:6" x14ac:dyDescent="0.3">
      <c r="A141" s="10">
        <v>133</v>
      </c>
      <c r="B141" s="4" t="s">
        <v>26</v>
      </c>
      <c r="C141" s="4" t="s">
        <v>113</v>
      </c>
      <c r="D141" s="11">
        <v>45923</v>
      </c>
      <c r="E141" s="4">
        <v>2</v>
      </c>
      <c r="F141" s="4" t="s">
        <v>14</v>
      </c>
    </row>
    <row r="142" spans="1:6" x14ac:dyDescent="0.3">
      <c r="A142" s="10">
        <v>134</v>
      </c>
      <c r="B142" s="4" t="s">
        <v>26</v>
      </c>
      <c r="C142" s="12" t="s">
        <v>55</v>
      </c>
      <c r="D142" s="11">
        <v>45924</v>
      </c>
      <c r="E142" s="4">
        <v>1.75</v>
      </c>
      <c r="F142" s="12" t="s">
        <v>14</v>
      </c>
    </row>
    <row r="143" spans="1:6" x14ac:dyDescent="0.3">
      <c r="A143" s="10">
        <v>135</v>
      </c>
      <c r="B143" s="4" t="s">
        <v>26</v>
      </c>
      <c r="C143" s="12" t="s">
        <v>66</v>
      </c>
      <c r="D143" s="11">
        <v>45924</v>
      </c>
      <c r="E143" s="4">
        <v>0.75</v>
      </c>
      <c r="F143" s="12" t="s">
        <v>14</v>
      </c>
    </row>
    <row r="144" spans="1:6" x14ac:dyDescent="0.3">
      <c r="A144" s="10">
        <v>136</v>
      </c>
      <c r="B144" s="4" t="s">
        <v>26</v>
      </c>
      <c r="C144" s="12" t="s">
        <v>91</v>
      </c>
      <c r="D144" s="11">
        <v>45924</v>
      </c>
      <c r="E144" s="4">
        <v>1</v>
      </c>
      <c r="F144" s="12" t="s">
        <v>14</v>
      </c>
    </row>
    <row r="145" spans="1:6" x14ac:dyDescent="0.3">
      <c r="A145" s="10">
        <v>137</v>
      </c>
      <c r="B145" s="4" t="s">
        <v>26</v>
      </c>
      <c r="C145" s="12" t="s">
        <v>114</v>
      </c>
      <c r="D145" s="11">
        <v>45924</v>
      </c>
      <c r="E145" s="4">
        <v>2.5</v>
      </c>
      <c r="F145" s="12" t="s">
        <v>14</v>
      </c>
    </row>
    <row r="146" spans="1:6" x14ac:dyDescent="0.3">
      <c r="A146" s="10">
        <v>138</v>
      </c>
      <c r="B146" s="4" t="s">
        <v>26</v>
      </c>
      <c r="C146" s="12" t="s">
        <v>96</v>
      </c>
      <c r="D146" s="11">
        <v>45924</v>
      </c>
      <c r="E146" s="4">
        <v>2</v>
      </c>
      <c r="F146" s="12" t="s">
        <v>14</v>
      </c>
    </row>
    <row r="147" spans="1:6" x14ac:dyDescent="0.3">
      <c r="A147" s="10">
        <v>139</v>
      </c>
      <c r="B147" s="4" t="s">
        <v>26</v>
      </c>
      <c r="C147" s="12" t="s">
        <v>27</v>
      </c>
      <c r="D147" s="11">
        <v>45925</v>
      </c>
      <c r="E147" s="4">
        <v>0.25</v>
      </c>
      <c r="F147" s="12" t="s">
        <v>14</v>
      </c>
    </row>
    <row r="148" spans="1:6" x14ac:dyDescent="0.3">
      <c r="A148" s="10">
        <v>140</v>
      </c>
      <c r="B148" s="4" t="s">
        <v>29</v>
      </c>
      <c r="C148" s="12" t="s">
        <v>28</v>
      </c>
      <c r="D148" s="11">
        <v>45925</v>
      </c>
      <c r="E148" s="4">
        <v>0.5</v>
      </c>
      <c r="F148" s="4" t="s">
        <v>14</v>
      </c>
    </row>
    <row r="149" spans="1:6" x14ac:dyDescent="0.3">
      <c r="A149" s="10">
        <v>141</v>
      </c>
      <c r="B149" s="4" t="s">
        <v>26</v>
      </c>
      <c r="C149" s="4" t="s">
        <v>60</v>
      </c>
      <c r="D149" s="11">
        <v>45925</v>
      </c>
      <c r="E149" s="4">
        <v>0.25</v>
      </c>
      <c r="F149" s="4" t="s">
        <v>14</v>
      </c>
    </row>
    <row r="150" spans="1:6" x14ac:dyDescent="0.3">
      <c r="A150" s="10">
        <v>142</v>
      </c>
      <c r="B150" s="4" t="s">
        <v>26</v>
      </c>
      <c r="C150" s="4" t="s">
        <v>74</v>
      </c>
      <c r="D150" s="11">
        <v>45925</v>
      </c>
      <c r="E150" s="4">
        <v>0.25</v>
      </c>
      <c r="F150" s="4" t="s">
        <v>14</v>
      </c>
    </row>
    <row r="151" spans="1:6" x14ac:dyDescent="0.3">
      <c r="A151" s="10">
        <v>143</v>
      </c>
      <c r="B151" s="4" t="s">
        <v>26</v>
      </c>
      <c r="C151" s="4" t="s">
        <v>90</v>
      </c>
      <c r="D151" s="11">
        <v>45925</v>
      </c>
      <c r="E151" s="4">
        <v>1</v>
      </c>
      <c r="F151" s="4" t="s">
        <v>14</v>
      </c>
    </row>
    <row r="152" spans="1:6" x14ac:dyDescent="0.3">
      <c r="A152" s="10">
        <v>144</v>
      </c>
      <c r="B152" s="4" t="s">
        <v>26</v>
      </c>
      <c r="C152" s="4" t="s">
        <v>114</v>
      </c>
      <c r="D152" s="11">
        <v>45925</v>
      </c>
      <c r="E152" s="4">
        <v>3.75</v>
      </c>
      <c r="F152" s="4" t="s">
        <v>14</v>
      </c>
    </row>
    <row r="153" spans="1:6" x14ac:dyDescent="0.3">
      <c r="A153" s="10">
        <v>145</v>
      </c>
      <c r="B153" s="4" t="s">
        <v>26</v>
      </c>
      <c r="C153" s="4" t="s">
        <v>96</v>
      </c>
      <c r="D153" s="11">
        <v>45925</v>
      </c>
      <c r="E153" s="4">
        <v>2</v>
      </c>
      <c r="F153" s="4" t="s">
        <v>14</v>
      </c>
    </row>
    <row r="154" spans="1:6" x14ac:dyDescent="0.3">
      <c r="A154" s="10">
        <v>146</v>
      </c>
      <c r="B154" s="4" t="s">
        <v>26</v>
      </c>
      <c r="C154" s="4" t="s">
        <v>27</v>
      </c>
      <c r="D154" s="11">
        <v>45926</v>
      </c>
      <c r="E154" s="4">
        <v>0.25</v>
      </c>
      <c r="F154" s="4" t="s">
        <v>14</v>
      </c>
    </row>
    <row r="155" spans="1:6" x14ac:dyDescent="0.3">
      <c r="A155" s="10">
        <v>147</v>
      </c>
      <c r="B155" s="4" t="s">
        <v>29</v>
      </c>
      <c r="C155" s="4" t="s">
        <v>28</v>
      </c>
      <c r="D155" s="11">
        <v>45926</v>
      </c>
      <c r="E155" s="4">
        <v>0.25</v>
      </c>
      <c r="F155" s="4" t="s">
        <v>14</v>
      </c>
    </row>
    <row r="156" spans="1:6" x14ac:dyDescent="0.3">
      <c r="A156" s="10">
        <v>148</v>
      </c>
      <c r="B156" s="4" t="s">
        <v>26</v>
      </c>
      <c r="C156" s="4" t="s">
        <v>56</v>
      </c>
      <c r="D156" s="11">
        <v>45926</v>
      </c>
      <c r="E156" s="4">
        <v>0.5</v>
      </c>
      <c r="F156" s="4" t="s">
        <v>14</v>
      </c>
    </row>
    <row r="157" spans="1:6" x14ac:dyDescent="0.3">
      <c r="A157" s="10">
        <v>149</v>
      </c>
      <c r="B157" s="4" t="s">
        <v>26</v>
      </c>
      <c r="C157" s="4" t="s">
        <v>61</v>
      </c>
      <c r="D157" s="11">
        <v>45926</v>
      </c>
      <c r="E157" s="4">
        <v>1</v>
      </c>
      <c r="F157" s="4" t="s">
        <v>14</v>
      </c>
    </row>
    <row r="158" spans="1:6" x14ac:dyDescent="0.3">
      <c r="A158" s="10">
        <v>150</v>
      </c>
      <c r="B158" s="4" t="s">
        <v>26</v>
      </c>
      <c r="C158" s="4" t="s">
        <v>75</v>
      </c>
      <c r="D158" s="11">
        <v>45926</v>
      </c>
      <c r="E158" s="4">
        <v>0.25</v>
      </c>
      <c r="F158" s="4" t="s">
        <v>14</v>
      </c>
    </row>
    <row r="159" spans="1:6" x14ac:dyDescent="0.3">
      <c r="A159" s="10">
        <v>151</v>
      </c>
      <c r="B159" s="4" t="s">
        <v>26</v>
      </c>
      <c r="C159" s="4" t="s">
        <v>65</v>
      </c>
      <c r="D159" s="11">
        <v>45926</v>
      </c>
      <c r="E159" s="4">
        <v>0.5</v>
      </c>
      <c r="F159" s="4" t="s">
        <v>14</v>
      </c>
    </row>
    <row r="160" spans="1:6" x14ac:dyDescent="0.3">
      <c r="A160" s="10">
        <v>152</v>
      </c>
      <c r="B160" s="4" t="s">
        <v>26</v>
      </c>
      <c r="C160" s="4" t="s">
        <v>114</v>
      </c>
      <c r="D160" s="11">
        <v>45926</v>
      </c>
      <c r="E160" s="4">
        <v>2.75</v>
      </c>
      <c r="F160" s="4" t="s">
        <v>14</v>
      </c>
    </row>
    <row r="161" spans="1:6" x14ac:dyDescent="0.3">
      <c r="A161" s="10">
        <v>153</v>
      </c>
      <c r="B161" s="4" t="s">
        <v>26</v>
      </c>
      <c r="C161" s="4" t="s">
        <v>96</v>
      </c>
      <c r="D161" s="11">
        <v>45926</v>
      </c>
      <c r="E161" s="4">
        <v>0.5</v>
      </c>
      <c r="F161" s="4" t="s">
        <v>14</v>
      </c>
    </row>
    <row r="162" spans="1:6" x14ac:dyDescent="0.3">
      <c r="A162" s="10">
        <v>154</v>
      </c>
      <c r="B162" s="4" t="s">
        <v>26</v>
      </c>
      <c r="C162" s="4" t="s">
        <v>116</v>
      </c>
      <c r="D162" s="11">
        <v>45926</v>
      </c>
      <c r="E162" s="4">
        <v>2</v>
      </c>
      <c r="F162" s="4" t="s">
        <v>14</v>
      </c>
    </row>
    <row r="163" spans="1:6" x14ac:dyDescent="0.3">
      <c r="A163" s="10">
        <v>155</v>
      </c>
      <c r="B163" s="4" t="s">
        <v>26</v>
      </c>
      <c r="C163" s="4" t="s">
        <v>27</v>
      </c>
      <c r="D163" s="11">
        <v>45929</v>
      </c>
      <c r="E163" s="4">
        <v>0.25</v>
      </c>
      <c r="F163" s="4" t="s">
        <v>14</v>
      </c>
    </row>
    <row r="164" spans="1:6" x14ac:dyDescent="0.3">
      <c r="A164" s="10">
        <v>156</v>
      </c>
      <c r="B164" s="4" t="s">
        <v>26</v>
      </c>
      <c r="C164" s="4" t="s">
        <v>58</v>
      </c>
      <c r="D164" s="11">
        <v>45929</v>
      </c>
      <c r="E164" s="4">
        <v>0.75</v>
      </c>
      <c r="F164" s="4" t="s">
        <v>14</v>
      </c>
    </row>
    <row r="165" spans="1:6" x14ac:dyDescent="0.3">
      <c r="A165" s="10">
        <v>157</v>
      </c>
      <c r="B165" s="4" t="s">
        <v>26</v>
      </c>
      <c r="C165" s="4" t="s">
        <v>59</v>
      </c>
      <c r="D165" s="11">
        <v>45929</v>
      </c>
      <c r="E165" s="4">
        <v>0.5</v>
      </c>
      <c r="F165" s="4" t="s">
        <v>14</v>
      </c>
    </row>
    <row r="166" spans="1:6" x14ac:dyDescent="0.3">
      <c r="A166" s="10">
        <v>158</v>
      </c>
      <c r="B166" s="4" t="s">
        <v>26</v>
      </c>
      <c r="C166" s="4" t="s">
        <v>61</v>
      </c>
      <c r="D166" s="11">
        <v>45929</v>
      </c>
      <c r="E166" s="4">
        <v>1</v>
      </c>
      <c r="F166" s="4" t="s">
        <v>14</v>
      </c>
    </row>
    <row r="167" spans="1:6" x14ac:dyDescent="0.3">
      <c r="A167" s="10">
        <v>159</v>
      </c>
      <c r="B167" s="4" t="s">
        <v>26</v>
      </c>
      <c r="C167" s="4" t="s">
        <v>95</v>
      </c>
      <c r="D167" s="11">
        <v>45929</v>
      </c>
      <c r="E167" s="4">
        <v>2</v>
      </c>
      <c r="F167" s="4" t="s">
        <v>14</v>
      </c>
    </row>
    <row r="168" spans="1:6" x14ac:dyDescent="0.3">
      <c r="A168" s="10">
        <v>160</v>
      </c>
      <c r="B168" s="4" t="s">
        <v>26</v>
      </c>
      <c r="C168" s="4" t="s">
        <v>98</v>
      </c>
      <c r="D168" s="11">
        <v>45929</v>
      </c>
      <c r="E168" s="4">
        <v>2</v>
      </c>
      <c r="F168" s="4" t="s">
        <v>14</v>
      </c>
    </row>
    <row r="169" spans="1:6" x14ac:dyDescent="0.3">
      <c r="A169" s="10">
        <v>161</v>
      </c>
      <c r="B169" s="4" t="s">
        <v>26</v>
      </c>
      <c r="C169" s="4" t="s">
        <v>115</v>
      </c>
      <c r="D169" s="11">
        <v>45929</v>
      </c>
      <c r="E169" s="4">
        <v>1.5</v>
      </c>
      <c r="F169" s="4" t="s">
        <v>14</v>
      </c>
    </row>
    <row r="170" spans="1:6" x14ac:dyDescent="0.3">
      <c r="A170" s="10">
        <v>162</v>
      </c>
      <c r="B170" s="4" t="s">
        <v>26</v>
      </c>
      <c r="C170" s="4" t="s">
        <v>27</v>
      </c>
      <c r="D170" s="11">
        <v>45930</v>
      </c>
      <c r="E170" s="4">
        <v>0.25</v>
      </c>
      <c r="F170" s="4" t="s">
        <v>14</v>
      </c>
    </row>
    <row r="171" spans="1:6" x14ac:dyDescent="0.3">
      <c r="A171" s="10">
        <v>163</v>
      </c>
      <c r="B171" s="4" t="s">
        <v>26</v>
      </c>
      <c r="C171" s="4" t="s">
        <v>31</v>
      </c>
      <c r="D171" s="11">
        <v>45930</v>
      </c>
      <c r="E171" s="4">
        <v>1.25</v>
      </c>
      <c r="F171" s="4" t="s">
        <v>14</v>
      </c>
    </row>
    <row r="172" spans="1:6" x14ac:dyDescent="0.3">
      <c r="A172" s="10">
        <v>164</v>
      </c>
      <c r="B172" s="4" t="s">
        <v>26</v>
      </c>
      <c r="C172" s="4" t="s">
        <v>61</v>
      </c>
      <c r="D172" s="11">
        <v>45930</v>
      </c>
      <c r="E172" s="4">
        <v>0.25</v>
      </c>
      <c r="F172" s="4" t="s">
        <v>14</v>
      </c>
    </row>
    <row r="173" spans="1:6" x14ac:dyDescent="0.3">
      <c r="A173" s="10">
        <v>165</v>
      </c>
      <c r="B173" s="4" t="s">
        <v>26</v>
      </c>
      <c r="C173" s="4" t="s">
        <v>62</v>
      </c>
      <c r="D173" s="11">
        <v>45930</v>
      </c>
      <c r="E173" s="4">
        <v>0.75</v>
      </c>
      <c r="F173" s="4" t="s">
        <v>14</v>
      </c>
    </row>
    <row r="174" spans="1:6" x14ac:dyDescent="0.3">
      <c r="A174" s="10">
        <v>166</v>
      </c>
      <c r="B174" s="4" t="s">
        <v>26</v>
      </c>
      <c r="C174" s="4" t="s">
        <v>65</v>
      </c>
      <c r="D174" s="11">
        <v>45930</v>
      </c>
      <c r="E174" s="4">
        <v>0.25</v>
      </c>
      <c r="F174" s="4" t="s">
        <v>14</v>
      </c>
    </row>
    <row r="175" spans="1:6" x14ac:dyDescent="0.3">
      <c r="A175" s="10">
        <v>167</v>
      </c>
      <c r="B175" s="4" t="s">
        <v>26</v>
      </c>
      <c r="C175" s="4" t="s">
        <v>76</v>
      </c>
      <c r="D175" s="11">
        <v>45930</v>
      </c>
      <c r="E175" s="4">
        <v>0.25</v>
      </c>
      <c r="F175" s="4" t="s">
        <v>14</v>
      </c>
    </row>
    <row r="176" spans="1:6" x14ac:dyDescent="0.3">
      <c r="A176" s="10">
        <v>168</v>
      </c>
      <c r="B176" s="4" t="s">
        <v>26</v>
      </c>
      <c r="C176" s="4" t="s">
        <v>77</v>
      </c>
      <c r="D176" s="11">
        <v>45930</v>
      </c>
      <c r="E176" s="4">
        <v>0.5</v>
      </c>
      <c r="F176" s="4" t="s">
        <v>14</v>
      </c>
    </row>
    <row r="177" spans="1:6" x14ac:dyDescent="0.3">
      <c r="A177" s="10">
        <v>169</v>
      </c>
      <c r="B177" s="4" t="s">
        <v>26</v>
      </c>
      <c r="C177" s="4" t="s">
        <v>114</v>
      </c>
      <c r="D177" s="11">
        <v>45930</v>
      </c>
      <c r="E177" s="4">
        <v>3</v>
      </c>
      <c r="F177" s="4" t="s">
        <v>14</v>
      </c>
    </row>
    <row r="178" spans="1:6" x14ac:dyDescent="0.3">
      <c r="A178" s="10">
        <v>170</v>
      </c>
      <c r="B178" s="4" t="s">
        <v>26</v>
      </c>
      <c r="C178" s="4" t="s">
        <v>96</v>
      </c>
      <c r="D178" s="11">
        <v>45930</v>
      </c>
      <c r="E178" s="4">
        <v>1.5</v>
      </c>
      <c r="F178" s="4" t="s">
        <v>14</v>
      </c>
    </row>
    <row r="179" spans="1:6" x14ac:dyDescent="0.3">
      <c r="A179" s="44"/>
      <c r="B179" s="45"/>
      <c r="C179" s="45"/>
      <c r="D179" s="46"/>
      <c r="E179" s="45">
        <f>SUM(E9:E178)</f>
        <v>176</v>
      </c>
      <c r="F179" s="45"/>
    </row>
    <row r="180" spans="1:6" x14ac:dyDescent="0.3">
      <c r="A180" s="2"/>
      <c r="B180" s="2"/>
      <c r="F180" s="1"/>
    </row>
    <row r="181" spans="1:6" x14ac:dyDescent="0.3">
      <c r="A181" s="34" t="s">
        <v>15</v>
      </c>
      <c r="B181" s="34"/>
      <c r="C181" s="5" t="s">
        <v>16</v>
      </c>
    </row>
    <row r="182" spans="1:6" x14ac:dyDescent="0.3">
      <c r="A182" s="35"/>
      <c r="B182" s="36"/>
      <c r="C182" s="41"/>
    </row>
    <row r="183" spans="1:6" x14ac:dyDescent="0.3">
      <c r="A183" s="37"/>
      <c r="B183" s="38"/>
      <c r="C183" s="42"/>
    </row>
    <row r="184" spans="1:6" x14ac:dyDescent="0.3">
      <c r="A184" s="37"/>
      <c r="B184" s="38"/>
      <c r="C184" s="42"/>
    </row>
    <row r="185" spans="1:6" x14ac:dyDescent="0.3">
      <c r="A185" s="39"/>
      <c r="B185" s="40"/>
      <c r="C185" s="43"/>
    </row>
    <row r="186" spans="1:6" x14ac:dyDescent="0.3">
      <c r="A186" s="16" t="str">
        <f>$C$6</f>
        <v>Manuel Guerra</v>
      </c>
      <c r="B186" s="16"/>
      <c r="C186" s="4" t="s">
        <v>17</v>
      </c>
    </row>
    <row r="187" spans="1:6" ht="15" customHeight="1" x14ac:dyDescent="0.3">
      <c r="A187" s="27" t="s">
        <v>25</v>
      </c>
      <c r="B187" s="29"/>
      <c r="C187" s="4" t="s">
        <v>18</v>
      </c>
    </row>
  </sheetData>
  <mergeCells count="17">
    <mergeCell ref="A181:B181"/>
    <mergeCell ref="A182:B185"/>
    <mergeCell ref="C182:C185"/>
    <mergeCell ref="A186:B186"/>
    <mergeCell ref="A187:B187"/>
    <mergeCell ref="A4:B4"/>
    <mergeCell ref="C4:F4"/>
    <mergeCell ref="A1:F1"/>
    <mergeCell ref="A2:B2"/>
    <mergeCell ref="C2:F2"/>
    <mergeCell ref="A3:B3"/>
    <mergeCell ref="C3:F3"/>
    <mergeCell ref="A5:B5"/>
    <mergeCell ref="C5:F5"/>
    <mergeCell ref="A6:B6"/>
    <mergeCell ref="C6:F6"/>
    <mergeCell ref="A7:F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698FC-F418-48F0-99FD-8FB7FA613325}">
  <dimension ref="A3:B28"/>
  <sheetViews>
    <sheetView workbookViewId="0">
      <selection activeCell="A6" sqref="A6"/>
    </sheetView>
  </sheetViews>
  <sheetFormatPr baseColWidth="10" defaultRowHeight="14.4" x14ac:dyDescent="0.3"/>
  <cols>
    <col min="1" max="1" width="17.5546875" bestFit="1" customWidth="1"/>
    <col min="2" max="2" width="14" bestFit="1" customWidth="1"/>
  </cols>
  <sheetData>
    <row r="3" spans="1:2" x14ac:dyDescent="0.3">
      <c r="A3" s="6" t="s">
        <v>20</v>
      </c>
      <c r="B3" t="s">
        <v>22</v>
      </c>
    </row>
    <row r="4" spans="1:2" x14ac:dyDescent="0.3">
      <c r="A4" s="7" t="s">
        <v>14</v>
      </c>
      <c r="B4">
        <v>176</v>
      </c>
    </row>
    <row r="5" spans="1:2" x14ac:dyDescent="0.3">
      <c r="A5" s="8" t="s">
        <v>23</v>
      </c>
    </row>
    <row r="6" spans="1:2" x14ac:dyDescent="0.3">
      <c r="A6" s="8">
        <v>45901</v>
      </c>
      <c r="B6">
        <v>8</v>
      </c>
    </row>
    <row r="7" spans="1:2" x14ac:dyDescent="0.3">
      <c r="A7" s="8">
        <v>45902</v>
      </c>
      <c r="B7">
        <v>8</v>
      </c>
    </row>
    <row r="8" spans="1:2" x14ac:dyDescent="0.3">
      <c r="A8" s="8">
        <v>45903</v>
      </c>
      <c r="B8">
        <v>8</v>
      </c>
    </row>
    <row r="9" spans="1:2" x14ac:dyDescent="0.3">
      <c r="A9" s="8">
        <v>45904</v>
      </c>
      <c r="B9">
        <v>8</v>
      </c>
    </row>
    <row r="10" spans="1:2" x14ac:dyDescent="0.3">
      <c r="A10" s="8">
        <v>45905</v>
      </c>
      <c r="B10">
        <v>8</v>
      </c>
    </row>
    <row r="11" spans="1:2" x14ac:dyDescent="0.3">
      <c r="A11" s="8">
        <v>45908</v>
      </c>
      <c r="B11">
        <v>8</v>
      </c>
    </row>
    <row r="12" spans="1:2" x14ac:dyDescent="0.3">
      <c r="A12" s="8">
        <v>45909</v>
      </c>
      <c r="B12">
        <v>8</v>
      </c>
    </row>
    <row r="13" spans="1:2" x14ac:dyDescent="0.3">
      <c r="A13" s="8">
        <v>45910</v>
      </c>
      <c r="B13">
        <v>8</v>
      </c>
    </row>
    <row r="14" spans="1:2" x14ac:dyDescent="0.3">
      <c r="A14" s="8">
        <v>45911</v>
      </c>
      <c r="B14">
        <v>8</v>
      </c>
    </row>
    <row r="15" spans="1:2" x14ac:dyDescent="0.3">
      <c r="A15" s="8">
        <v>45912</v>
      </c>
      <c r="B15">
        <v>8</v>
      </c>
    </row>
    <row r="16" spans="1:2" x14ac:dyDescent="0.3">
      <c r="A16" s="8">
        <v>45915</v>
      </c>
      <c r="B16">
        <v>8</v>
      </c>
    </row>
    <row r="17" spans="1:2" x14ac:dyDescent="0.3">
      <c r="A17" s="8">
        <v>45916</v>
      </c>
      <c r="B17">
        <v>8</v>
      </c>
    </row>
    <row r="18" spans="1:2" x14ac:dyDescent="0.3">
      <c r="A18" s="8">
        <v>45917</v>
      </c>
      <c r="B18">
        <v>8</v>
      </c>
    </row>
    <row r="19" spans="1:2" x14ac:dyDescent="0.3">
      <c r="A19" s="8">
        <v>45918</v>
      </c>
      <c r="B19">
        <v>8</v>
      </c>
    </row>
    <row r="20" spans="1:2" x14ac:dyDescent="0.3">
      <c r="A20" s="8">
        <v>45919</v>
      </c>
      <c r="B20">
        <v>8</v>
      </c>
    </row>
    <row r="21" spans="1:2" x14ac:dyDescent="0.3">
      <c r="A21" s="8">
        <v>45922</v>
      </c>
      <c r="B21">
        <v>8</v>
      </c>
    </row>
    <row r="22" spans="1:2" x14ac:dyDescent="0.3">
      <c r="A22" s="8">
        <v>45923</v>
      </c>
      <c r="B22">
        <v>8</v>
      </c>
    </row>
    <row r="23" spans="1:2" x14ac:dyDescent="0.3">
      <c r="A23" s="8">
        <v>45924</v>
      </c>
      <c r="B23">
        <v>8</v>
      </c>
    </row>
    <row r="24" spans="1:2" x14ac:dyDescent="0.3">
      <c r="A24" s="8">
        <v>45925</v>
      </c>
      <c r="B24">
        <v>8</v>
      </c>
    </row>
    <row r="25" spans="1:2" x14ac:dyDescent="0.3">
      <c r="A25" s="8">
        <v>45926</v>
      </c>
      <c r="B25">
        <v>8</v>
      </c>
    </row>
    <row r="26" spans="1:2" x14ac:dyDescent="0.3">
      <c r="A26" s="8">
        <v>45929</v>
      </c>
      <c r="B26">
        <v>8</v>
      </c>
    </row>
    <row r="27" spans="1:2" x14ac:dyDescent="0.3">
      <c r="A27" s="8">
        <v>45930</v>
      </c>
      <c r="B27">
        <v>8</v>
      </c>
    </row>
    <row r="28" spans="1:2" x14ac:dyDescent="0.3">
      <c r="A28" s="7" t="s">
        <v>21</v>
      </c>
      <c r="B28">
        <v>176</v>
      </c>
    </row>
  </sheetData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235B668EC5EC438B3606758EABB404" ma:contentTypeVersion="2" ma:contentTypeDescription="Crear nuevo documento." ma:contentTypeScope="" ma:versionID="3d342e9da40ea29d7cdbedf2e94189bf">
  <xsd:schema xmlns:xsd="http://www.w3.org/2001/XMLSchema" xmlns:xs="http://www.w3.org/2001/XMLSchema" xmlns:p="http://schemas.microsoft.com/office/2006/metadata/properties" xmlns:ns2="3cce8931-1ee1-4db2-a960-d3d6d77929c8" targetNamespace="http://schemas.microsoft.com/office/2006/metadata/properties" ma:root="true" ma:fieldsID="871a7c447be8d0729833dfe179fcad91" ns2:_="">
    <xsd:import namespace="3cce8931-1ee1-4db2-a960-d3d6d77929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e8931-1ee1-4db2-a960-d3d6d77929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DFC4B2-B3E4-4629-8A74-496E844950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B4CD14-7172-4D8A-A9CD-2AB818B18F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ce8931-1ee1-4db2-a960-d3d6d77929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6A560C-45BA-4618-ADD8-D6C3E27A5AFD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3cce8931-1ee1-4db2-a960-d3d6d77929c8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Diego Val</cp:lastModifiedBy>
  <cp:revision/>
  <cp:lastPrinted>2023-11-30T22:15:06Z</cp:lastPrinted>
  <dcterms:created xsi:type="dcterms:W3CDTF">2018-01-03T15:17:31Z</dcterms:created>
  <dcterms:modified xsi:type="dcterms:W3CDTF">2025-10-13T20:01:49Z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0x010100F4235B668EC5EC438B3606758EABB404</vt:lpwstr>
  </property>
  <property fmtid="{D5CDD505-2E9C-101B-9397-08002B2CF9AE}" pid="3" name="_dlc_DocIdItemGuid">
    <vt:lpwstr>1319af11-d6f8-4642-8278-edd44724049d</vt:lpwstr>
  </property>
  <property fmtid="{D5CDD505-2E9C-101B-9397-08002B2CF9AE}" pid="4" name="AuthorIds_UIVersion_512">
    <vt:lpwstr>33</vt:lpwstr>
  </property>
  <property fmtid="{D5CDD505-2E9C-101B-9397-08002B2CF9AE}" pid="5" name="AuthorIds_UIVersion_1536">
    <vt:lpwstr>31</vt:lpwstr>
  </property>
</Properties>
</file>