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val_grupobusiness_it/Documents/Staff Augmentation/Clientes/NOVA/Facturación/Setiembre25/CD/Reportes/"/>
    </mc:Choice>
  </mc:AlternateContent>
  <xr:revisionPtr revIDLastSave="0" documentId="13_ncr:1_{6AE56042-D368-431B-AD05-68BA138B33FD}" xr6:coauthVersionLast="47" xr6:coauthVersionMax="47" xr10:uidLastSave="{00000000-0000-0000-0000-000000000000}"/>
  <bookViews>
    <workbookView xWindow="-108" yWindow="-108" windowWidth="23256" windowHeight="12456" xr2:uid="{F625BBCF-F31D-435C-B1AA-13423494DF2F}"/>
  </bookViews>
  <sheets>
    <sheet name="David Vargas" sheetId="1" r:id="rId1"/>
    <sheet name="Resumen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6" i="1" l="1"/>
  <c r="L118" i="1"/>
  <c r="L117" i="1"/>
  <c r="L116" i="1"/>
</calcChain>
</file>

<file path=xl/sharedStrings.xml><?xml version="1.0" encoding="utf-8"?>
<sst xmlns="http://schemas.openxmlformats.org/spreadsheetml/2006/main" count="873" uniqueCount="97">
  <si>
    <t xml:space="preserve">          INFORME ACTIVIDADES</t>
  </si>
  <si>
    <t>Fecha del Informe:</t>
  </si>
  <si>
    <t>Tema del Informe:</t>
  </si>
  <si>
    <t>Informe de Actividades</t>
  </si>
  <si>
    <t>Periodo Informe:</t>
  </si>
  <si>
    <t>01/09/2025 - 30/09/2025</t>
  </si>
  <si>
    <t>Empresa:</t>
  </si>
  <si>
    <t>BIT</t>
  </si>
  <si>
    <t>Consultor:</t>
  </si>
  <si>
    <t>David Vargas A.</t>
  </si>
  <si>
    <t>Trabajo Realizado</t>
  </si>
  <si>
    <t>#</t>
  </si>
  <si>
    <t>Área Solicitante</t>
  </si>
  <si>
    <t>Ticket</t>
  </si>
  <si>
    <t>Descripción</t>
  </si>
  <si>
    <t>Actividad</t>
  </si>
  <si>
    <t>Tipo Actividad</t>
  </si>
  <si>
    <t>\NOVA\Tecnología - Documentos\IT\Desarrollo\Documentación\2025</t>
  </si>
  <si>
    <t>Fecha</t>
  </si>
  <si>
    <t>Horas</t>
  </si>
  <si>
    <t>Tipo Hora</t>
  </si>
  <si>
    <t>Técnico</t>
  </si>
  <si>
    <t>Equipo</t>
  </si>
  <si>
    <t>Asesoría</t>
  </si>
  <si>
    <t>Portal Corporativo</t>
  </si>
  <si>
    <t>Daily desarrollo 2025</t>
  </si>
  <si>
    <t>Nuevos requerimientos</t>
  </si>
  <si>
    <t>Enlace a ticket 75110</t>
  </si>
  <si>
    <t>HN</t>
  </si>
  <si>
    <t>David Vargas</t>
  </si>
  <si>
    <t>Desarrollo</t>
  </si>
  <si>
    <t>Procesos y Mejora Continua</t>
  </si>
  <si>
    <t>Automatización Asistencia Médica Bienestar Microfinanzas GRUPAL</t>
  </si>
  <si>
    <t>Daily producto Asistencia Médica Bienestar Total</t>
  </si>
  <si>
    <t>Nuevos productos</t>
  </si>
  <si>
    <t>Enlace a ticket 71373</t>
  </si>
  <si>
    <t>HU149: ServiceGateway Exponer capacidad de registro de usuario:
- Servicio de aplicación, DTO, fluent validations</t>
  </si>
  <si>
    <t>Gestión aplicaciones</t>
  </si>
  <si>
    <t>Enlace HU149</t>
  </si>
  <si>
    <t>Estabilización flujo por restauración bdd en ambiente de desarrollo:
- Validación con QA.
- Reprocesamientos script de homologación producto
20250627_Insert_Integration_Homologation_MEDICAL_AID.sql
- Reprocesamiento script de nombres de documentos (solicitud)
20250627_Insert_CustomCatalog_ATTACHMENT_LEGAL_FILES_MEDICAL_AID.sql</t>
  </si>
  <si>
    <t>HU149: ServiceGateway Exponer capacidad de registro de usuario:
-Tests servicio de aplicación</t>
  </si>
  <si>
    <t>Cálculo fecha de fin de vigencia según monto total prepagado</t>
  </si>
  <si>
    <t xml:space="preserve">HU148: Security/Nova Crear capacidad de registro de usuario - Refactoring perfil de usuario:
- Análisis con desarrollador de módulo de seguridades.
- Pruebas POC Api Rest Postman.
- Integración para obtener perfil de compañia: api/services/app/profileCompany/GetProfilesbyCompany
- Test de aplicación.
</t>
  </si>
  <si>
    <t>Enlace HU148</t>
  </si>
  <si>
    <t xml:space="preserve">HU148: Security/Nova Crear capacidad de registro de usuario - Refactoring perfil de usuario:
- Integración para asignar perfil de compañia: api/services/app/UserProfileCompany/SaveOrDeleteAsyncUserProfileCompanies
- Test de aplicación.
</t>
  </si>
  <si>
    <t>HU148: Security/Nova Crear capacidad de registro de usuario - Refactoring perfil de usuario:
- Refactoring capacidad registro de usuario para asingar perfiles: sigs-security/user
- Test de aplicación.
- Validación capacidad para generar token con usuario creado en API Rest Postman 
https://secdev.novaseguroslatam.com:453/connect/token</t>
  </si>
  <si>
    <t>HU149: ServiceGateway Exponer capacidad de registro de usuario:
-Validación API Rest Postman registro de usuario.
/api/security/sigs/user/register</t>
  </si>
  <si>
    <t>Revisión reglas de negocio</t>
  </si>
  <si>
    <t>Validación endpoints para Embedex: 
- Generación de token.
- Cambio de contraseña. 
Solicitud versionamiento OPEN Api Swagger EvaLink.Security y EvaLink.ServiceGateway</t>
  </si>
  <si>
    <t>HU156: Crear servicio NovaProduct
Creación de entidades y servicios de dominio - Agregado Producto.
- Revisión diagrama entidad relación con nuevas definiciones de negocio</t>
  </si>
  <si>
    <t>Enlace diagrama</t>
  </si>
  <si>
    <t>Revisión duplicidad asistencia médica por transaction reference en progeso</t>
  </si>
  <si>
    <t>Paso de nuevos endpoint Portal Corporativo</t>
  </si>
  <si>
    <t>Enlace detalle endpoints</t>
  </si>
  <si>
    <t>HU156: Crear servicio NovaProduct
Creación de entidades y servicios de dominio - Agregado Producto.
-Refactorización por eliminación de entidades y relaciones
- Ajustes tests servicio de dominio.</t>
  </si>
  <si>
    <t>Definición de data de prueba con QA para pruebas con Banco: 
-Validación de escenarios con cédulas con mock y sin mock en Eva.Insurtech.Integration.
-Transferencia de conocimiento recibida para mock de cédulas.</t>
  </si>
  <si>
    <t>Pruebas Consumo API Nova BP y Flujo Venta Integrada</t>
  </si>
  <si>
    <t>Transferencia de conocimiento a desarrollador para creación de entidades, agregado Rules</t>
  </si>
  <si>
    <t xml:space="preserve">HU156: Crear servicio NovaProduct
Creación de entidades y servicios de dominio - Agregado Plan
-Refactorización por eliminación de entidades y relaciones
</t>
  </si>
  <si>
    <t>Mock cédulas para cetificación QA con sponsor Banco</t>
  </si>
  <si>
    <t xml:space="preserve">HU156: Crear servicio NovaProduct
Creación de entidades y servicios de dominio - Agregado Prdocut y Plan
-Ajustes tests por refactorizaciones y cumplimiento cobertura sonar
</t>
  </si>
  <si>
    <t>Checkpoint interno Portal AM</t>
  </si>
  <si>
    <t>Daily Portal AM</t>
  </si>
  <si>
    <t>HU156: Crear servicio NovaProduct
Agregado Insurance Carrier e Insurance Type</t>
  </si>
  <si>
    <t>HU156: Crear servicio NovaProduct
- Tests - Agregado Insurance Carrier e Insurance Type
- Resolver merge conflicts con otros agregados</t>
  </si>
  <si>
    <t>Revisión de api Insurance management V1 con desarrollo BP</t>
  </si>
  <si>
    <t>Servicios de aplicación para consulta de agregado Product</t>
  </si>
  <si>
    <t>Revisión de flujo en desarrollo tramas con cédulas nuevas para mock de QA BP. Hallazgo: jobs de replica failed, se escala a arquitectura y desarrollador asignado.</t>
  </si>
  <si>
    <t>Revisión de integración BP NOVA</t>
  </si>
  <si>
    <t>Creación de cliente unico con cédulas mock para QA BP como alternativa de mitigación a job fallidos de réplica.
nova-services/nova/unique-client-create</t>
  </si>
  <si>
    <t xml:space="preserve">HU3653: NovaProduct Capacidad para consulta de productos y planes: - Servicios de aplicación para consulta de agregado Product - Tests - Resolver merge conflicts </t>
  </si>
  <si>
    <t>Generación de trama para mock de servicio de endpoint para consulta de información de producto para Embedex</t>
  </si>
  <si>
    <t>Revisión cambio canal SIMA</t>
  </si>
  <si>
    <t>HU3653: NovaProduct Capacidad para consulta de productos y planes: -Refactoring EfCore Model Creating para agregados: Product, Plan, Assistance, Sponsor, InsuranceType, InsuranceCarrier</t>
  </si>
  <si>
    <t>Pruebas integración BP-NOVA</t>
  </si>
  <si>
    <t>Socialización Proyecto Vista 360/Hub</t>
  </si>
  <si>
    <t>HU3653: NovaProduct Capacidad para consulta de productos y planes: Refactoring localization json. para agregados: Product, Plan, Assistance, Sponsor, InsuranceType, InsuranceCarrier.
Creación nuevas entidades ProductDocumentLinks,PlanDocumentLink</t>
  </si>
  <si>
    <t>HU3653: NovaProduct Capacidad para consulta de productos y planes: 
Ajustes refatoring y tests servicios de dominio y cobertura Product, Plan, Assistance, Sponsor, InsuranceType, InsuranceCarrier</t>
  </si>
  <si>
    <t>Plan de Trabajo Vista 360/HUB</t>
  </si>
  <si>
    <t>HU3653: NovaProduct Capacidad para consulta de productos y planes: 
Ajustes refatoring y tests servicios de dominio y cobertura ProductDocumentLinks,PlanDocumentLink</t>
  </si>
  <si>
    <t>HU3653: NovaProduct Capacidad para consulta de productos y planes: 
Script reprocesable de parametrización inicial de productos y planes.
Análisis lógica de negocio para parametrizar precios por categoría TITULA, TITULAR+1, TITULAR+FAMILIA</t>
  </si>
  <si>
    <t>Análisis servicios pendientes Portal AM</t>
  </si>
  <si>
    <t>HU3653: NovaProduct Capacidad para consulta de productos y planes: 
Refactoring agregado plan para soportar solicitud de negocio de parametriación de planes por categoría.
Migración inicial de BDD</t>
  </si>
  <si>
    <t>HU3653: NovaProduct Capacidad para consulta de productos y plan:
Tests para refactoring categorías planes.
Filtrado servicio plan para código y categoría
Migración de BDD y reprocesamiento script de parametrización.
Integración</t>
  </si>
  <si>
    <t>Total Horas Normales</t>
  </si>
  <si>
    <t>Total Horas Extras entre semana</t>
  </si>
  <si>
    <t>Total Horas Extras fin de semana o feriado</t>
  </si>
  <si>
    <r>
      <t>Tipo Hora - HN:</t>
    </r>
    <r>
      <rPr>
        <sz val="10"/>
        <color theme="1"/>
        <rFont val="Calibri"/>
        <family val="2"/>
      </rPr>
      <t xml:space="preserve"> hora normal</t>
    </r>
    <r>
      <rPr>
        <b/>
        <sz val="10"/>
        <color theme="1"/>
        <rFont val="Calibri"/>
        <family val="2"/>
      </rPr>
      <t xml:space="preserve"> / HS: </t>
    </r>
    <r>
      <rPr>
        <sz val="10"/>
        <color theme="1"/>
        <rFont val="Calibri"/>
        <family val="2"/>
      </rPr>
      <t>hora extra entre semana</t>
    </r>
    <r>
      <rPr>
        <b/>
        <sz val="10"/>
        <color theme="1"/>
        <rFont val="Calibri"/>
        <family val="2"/>
      </rPr>
      <t xml:space="preserve"> / HF: </t>
    </r>
    <r>
      <rPr>
        <sz val="10"/>
        <color theme="1"/>
        <rFont val="Calibri"/>
        <family val="2"/>
      </rPr>
      <t>hora extra fin de semana o feriado</t>
    </r>
  </si>
  <si>
    <t>Repositorio Base Sharepoint de DocumentaciónEntregada:
\NOVA\Tecnología - Documentos\IT\Desarrollo\Documentación</t>
  </si>
  <si>
    <t>Elaborado por:</t>
  </si>
  <si>
    <t>Aprobado por:</t>
  </si>
  <si>
    <t>Wilmer Jaramillo</t>
  </si>
  <si>
    <t>Cargo Recurso</t>
  </si>
  <si>
    <t>Subgerente Regional de Tecnología</t>
  </si>
  <si>
    <t>Etiquetas de fila</t>
  </si>
  <si>
    <t>Total general</t>
  </si>
  <si>
    <t>Suma de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</si>
</sst>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0"/>
      <name val="Calibri"/>
      <family val="2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</font>
    <font>
      <u/>
      <sz val="11"/>
      <color rgb="FF467886"/>
      <name val="Aptos Narrow"/>
    </font>
    <font>
      <sz val="10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4C6E7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9" fillId="0" borderId="6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1" fillId="0" borderId="7" xfId="1" applyFill="1" applyBorder="1" applyAlignment="1">
      <alignment wrapText="1"/>
    </xf>
    <xf numFmtId="14" fontId="9" fillId="0" borderId="7" xfId="0" applyNumberFormat="1" applyFont="1" applyBorder="1" applyAlignment="1">
      <alignment wrapText="1"/>
    </xf>
    <xf numFmtId="0" fontId="9" fillId="0" borderId="7" xfId="0" applyFont="1" applyBorder="1"/>
    <xf numFmtId="0" fontId="9" fillId="0" borderId="8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9" fillId="0" borderId="8" xfId="0" applyFont="1" applyBorder="1"/>
    <xf numFmtId="0" fontId="1" fillId="0" borderId="9" xfId="1" applyFill="1" applyBorder="1" applyAlignment="1">
      <alignment wrapText="1"/>
    </xf>
    <xf numFmtId="0" fontId="9" fillId="0" borderId="0" xfId="0" applyFont="1" applyAlignment="1">
      <alignment wrapText="1"/>
    </xf>
    <xf numFmtId="0" fontId="1" fillId="0" borderId="10" xfId="1" applyFill="1" applyBorder="1" applyAlignment="1">
      <alignment wrapText="1"/>
    </xf>
    <xf numFmtId="0" fontId="11" fillId="0" borderId="11" xfId="0" applyFont="1" applyBorder="1"/>
    <xf numFmtId="0" fontId="1" fillId="0" borderId="12" xfId="1" applyFill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5" fillId="0" borderId="3" xfId="0" applyNumberFormat="1" applyFont="1" applyBorder="1" applyAlignment="1">
      <alignment horizontal="left" vertical="center" wrapText="1"/>
    </xf>
  </cellXfs>
  <cellStyles count="2">
    <cellStyle name="Hyperlink" xfId="1" xr:uid="{E93BD0BC-8312-43D2-9A31-F3429F5F506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178594</xdr:colOff>
      <xdr:row>0</xdr:row>
      <xdr:rowOff>91282</xdr:rowOff>
    </xdr:from>
    <xdr:to>
      <xdr:col>1</xdr:col>
      <xdr:colOff>673169</xdr:colOff>
      <xdr:row>0</xdr:row>
      <xdr:rowOff>435610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6B5FB0-7FD8-4478-9121-5204F5DB78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784" y="95092"/>
          <a:ext cx="749845" cy="34432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gas Agreda David Andres" refreshedDate="45930.59613125" createdVersion="8" refreshedVersion="8" minRefreshableVersion="3" recordCount="105" xr:uid="{2FD11254-F833-4E38-98ED-178F4B54989A}">
  <cacheSource type="worksheet">
    <worksheetSource ref="H9:I114" sheet="David Vargas"/>
  </cacheSource>
  <cacheFields count="2">
    <cacheField name="Fecha" numFmtId="14">
      <sharedItems containsSemiMixedTypes="0" containsNonDate="0" containsDate="1" containsString="0" minDate="2025-09-01T00:00:00" maxDate="2025-10-01T00:00:00" count="22"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</sharedItems>
    </cacheField>
    <cacheField name="Horas" numFmtId="0">
      <sharedItems containsSemiMixedTypes="0" containsString="0" containsNumber="1" minValue="0.5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n v="0.5"/>
  </r>
  <r>
    <x v="0"/>
    <n v="0.5"/>
  </r>
  <r>
    <x v="0"/>
    <n v="4"/>
  </r>
  <r>
    <x v="0"/>
    <n v="3"/>
  </r>
  <r>
    <x v="1"/>
    <n v="0.5"/>
  </r>
  <r>
    <x v="1"/>
    <n v="0.5"/>
  </r>
  <r>
    <x v="1"/>
    <n v="3"/>
  </r>
  <r>
    <x v="1"/>
    <n v="0.5"/>
  </r>
  <r>
    <x v="1"/>
    <n v="0.5"/>
  </r>
  <r>
    <x v="1"/>
    <n v="3"/>
  </r>
  <r>
    <x v="2"/>
    <n v="0.5"/>
  </r>
  <r>
    <x v="2"/>
    <n v="0.5"/>
  </r>
  <r>
    <x v="2"/>
    <n v="7"/>
  </r>
  <r>
    <x v="3"/>
    <n v="0.5"/>
  </r>
  <r>
    <x v="3"/>
    <n v="0.5"/>
  </r>
  <r>
    <x v="3"/>
    <n v="7"/>
  </r>
  <r>
    <x v="4"/>
    <n v="0.5"/>
  </r>
  <r>
    <x v="4"/>
    <n v="0.5"/>
  </r>
  <r>
    <x v="4"/>
    <n v="5"/>
  </r>
  <r>
    <x v="4"/>
    <n v="2"/>
  </r>
  <r>
    <x v="5"/>
    <n v="0.5"/>
  </r>
  <r>
    <x v="5"/>
    <n v="0.5"/>
  </r>
  <r>
    <x v="5"/>
    <n v="0.5"/>
  </r>
  <r>
    <x v="5"/>
    <n v="1.5"/>
  </r>
  <r>
    <x v="5"/>
    <n v="5"/>
  </r>
  <r>
    <x v="6"/>
    <n v="0.5"/>
  </r>
  <r>
    <x v="6"/>
    <n v="0.5"/>
  </r>
  <r>
    <x v="6"/>
    <n v="1"/>
  </r>
  <r>
    <x v="6"/>
    <n v="1"/>
  </r>
  <r>
    <x v="6"/>
    <n v="5"/>
  </r>
  <r>
    <x v="7"/>
    <n v="0.5"/>
  </r>
  <r>
    <x v="7"/>
    <n v="0.5"/>
  </r>
  <r>
    <x v="7"/>
    <n v="4"/>
  </r>
  <r>
    <x v="7"/>
    <n v="1.5"/>
  </r>
  <r>
    <x v="7"/>
    <n v="1.5"/>
  </r>
  <r>
    <x v="8"/>
    <n v="0.5"/>
  </r>
  <r>
    <x v="8"/>
    <n v="0.5"/>
  </r>
  <r>
    <x v="8"/>
    <n v="7"/>
  </r>
  <r>
    <x v="9"/>
    <n v="0.5"/>
  </r>
  <r>
    <x v="9"/>
    <n v="0.5"/>
  </r>
  <r>
    <x v="9"/>
    <n v="1.5"/>
  </r>
  <r>
    <x v="9"/>
    <n v="5.5"/>
  </r>
  <r>
    <x v="10"/>
    <n v="0.5"/>
  </r>
  <r>
    <x v="10"/>
    <n v="0.5"/>
  </r>
  <r>
    <x v="10"/>
    <n v="0.5"/>
  </r>
  <r>
    <x v="10"/>
    <n v="0.5"/>
  </r>
  <r>
    <x v="10"/>
    <n v="6"/>
  </r>
  <r>
    <x v="11"/>
    <n v="0.5"/>
  </r>
  <r>
    <x v="11"/>
    <n v="1"/>
  </r>
  <r>
    <x v="11"/>
    <n v="0.5"/>
  </r>
  <r>
    <x v="11"/>
    <n v="6"/>
  </r>
  <r>
    <x v="12"/>
    <n v="0.5"/>
  </r>
  <r>
    <x v="12"/>
    <n v="0.5"/>
  </r>
  <r>
    <x v="12"/>
    <n v="0.5"/>
  </r>
  <r>
    <x v="12"/>
    <n v="1.5"/>
  </r>
  <r>
    <x v="12"/>
    <n v="3"/>
  </r>
  <r>
    <x v="12"/>
    <n v="2"/>
  </r>
  <r>
    <x v="13"/>
    <n v="0.5"/>
  </r>
  <r>
    <x v="13"/>
    <n v="0.5"/>
  </r>
  <r>
    <x v="13"/>
    <n v="0.5"/>
  </r>
  <r>
    <x v="13"/>
    <n v="1.5"/>
  </r>
  <r>
    <x v="13"/>
    <n v="2"/>
  </r>
  <r>
    <x v="13"/>
    <n v="3"/>
  </r>
  <r>
    <x v="14"/>
    <n v="0.5"/>
  </r>
  <r>
    <x v="14"/>
    <n v="0.5"/>
  </r>
  <r>
    <x v="14"/>
    <n v="0.5"/>
  </r>
  <r>
    <x v="14"/>
    <n v="0.5"/>
  </r>
  <r>
    <x v="14"/>
    <n v="3"/>
  </r>
  <r>
    <x v="14"/>
    <n v="3"/>
  </r>
  <r>
    <x v="15"/>
    <n v="0.5"/>
  </r>
  <r>
    <x v="15"/>
    <n v="0.5"/>
  </r>
  <r>
    <x v="15"/>
    <n v="0.5"/>
  </r>
  <r>
    <x v="15"/>
    <n v="0.5"/>
  </r>
  <r>
    <x v="15"/>
    <n v="0.5"/>
  </r>
  <r>
    <x v="15"/>
    <n v="5.5"/>
  </r>
  <r>
    <x v="16"/>
    <n v="0.5"/>
  </r>
  <r>
    <x v="16"/>
    <n v="0.5"/>
  </r>
  <r>
    <x v="16"/>
    <n v="2"/>
  </r>
  <r>
    <x v="16"/>
    <n v="1.5"/>
  </r>
  <r>
    <x v="16"/>
    <n v="3.5"/>
  </r>
  <r>
    <x v="17"/>
    <n v="0.5"/>
  </r>
  <r>
    <x v="17"/>
    <n v="2"/>
  </r>
  <r>
    <x v="17"/>
    <n v="0.5"/>
  </r>
  <r>
    <x v="17"/>
    <n v="5"/>
  </r>
  <r>
    <x v="18"/>
    <n v="0.5"/>
  </r>
  <r>
    <x v="18"/>
    <n v="0.5"/>
  </r>
  <r>
    <x v="18"/>
    <n v="0.5"/>
  </r>
  <r>
    <x v="18"/>
    <n v="1.5"/>
  </r>
  <r>
    <x v="18"/>
    <n v="5"/>
  </r>
  <r>
    <x v="19"/>
    <n v="0.5"/>
  </r>
  <r>
    <x v="19"/>
    <n v="0.5"/>
  </r>
  <r>
    <x v="19"/>
    <n v="0.5"/>
  </r>
  <r>
    <x v="19"/>
    <n v="0.5"/>
  </r>
  <r>
    <x v="19"/>
    <n v="2"/>
  </r>
  <r>
    <x v="19"/>
    <n v="4"/>
  </r>
  <r>
    <x v="20"/>
    <n v="0.5"/>
  </r>
  <r>
    <x v="20"/>
    <n v="0.5"/>
  </r>
  <r>
    <x v="20"/>
    <n v="1"/>
  </r>
  <r>
    <x v="20"/>
    <n v="0.5"/>
  </r>
  <r>
    <x v="20"/>
    <n v="2"/>
  </r>
  <r>
    <x v="20"/>
    <n v="3.5"/>
  </r>
  <r>
    <x v="21"/>
    <n v="0.5"/>
  </r>
  <r>
    <x v="21"/>
    <n v="0.5"/>
  </r>
  <r>
    <x v="21"/>
    <n v="5.5"/>
  </r>
  <r>
    <x v="21"/>
    <n v="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6EA74-7964-4398-B90A-C0544644501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24" firstHeaderRow="1" firstDataRow="1" firstDataCol="1"/>
  <pivotFields count="2">
    <pivotField axis="axisRow" numFmtId="14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a de Hora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ortalmst.novaseguroslatam.com/front/ticket.form.php?id=75110" TargetMode="External"/><Relationship Id="rId21" Type="http://schemas.openxmlformats.org/officeDocument/2006/relationships/hyperlink" Target="https://lucid.app/lucidchart/79575f78-2f0c-4260-b978-871ecee6c1b0/edit?invitationId=inv_c98ae853-bc06-406d-9de3-779262633fa8&amp;page=yc_EI-4QQiJN" TargetMode="External"/><Relationship Id="rId34" Type="http://schemas.openxmlformats.org/officeDocument/2006/relationships/hyperlink" Target="https://portalmst.novaseguroslatam.com/front/ticket.form.php?id=75110" TargetMode="External"/><Relationship Id="rId42" Type="http://schemas.openxmlformats.org/officeDocument/2006/relationships/hyperlink" Target="https://portalmst.novaseguroslatam.com/front/ticket.form.php?id=75110" TargetMode="External"/><Relationship Id="rId47" Type="http://schemas.openxmlformats.org/officeDocument/2006/relationships/hyperlink" Target="https://portalmst.novaseguroslatam.com/front/ticket.form.php?id=75110" TargetMode="External"/><Relationship Id="rId50" Type="http://schemas.openxmlformats.org/officeDocument/2006/relationships/hyperlink" Target="https://portalmst.novaseguroslatam.com/front/ticket.form.php?id=75110" TargetMode="External"/><Relationship Id="rId55" Type="http://schemas.openxmlformats.org/officeDocument/2006/relationships/hyperlink" Target="https://portalmst.novaseguroslatam.com/front/ticket.form.php?id=75110" TargetMode="External"/><Relationship Id="rId63" Type="http://schemas.openxmlformats.org/officeDocument/2006/relationships/hyperlink" Target="https://portalmst.novaseguroslatam.com/front/ticket.form.php?id=75110" TargetMode="External"/><Relationship Id="rId68" Type="http://schemas.openxmlformats.org/officeDocument/2006/relationships/drawing" Target="../drawings/drawing1.xml"/><Relationship Id="rId7" Type="http://schemas.openxmlformats.org/officeDocument/2006/relationships/hyperlink" Target="https://portalmst.novaseguroslatam.com/front/ticket.form.php?id=75110" TargetMode="External"/><Relationship Id="rId2" Type="http://schemas.openxmlformats.org/officeDocument/2006/relationships/hyperlink" Target="https://dev.azure.com/nroman/PORTAL%20CORPORATIVO/_workitems/edit/149" TargetMode="External"/><Relationship Id="rId16" Type="http://schemas.openxmlformats.org/officeDocument/2006/relationships/hyperlink" Target="https://novaecuador.sharepoint.com/:x:/s/RepositorioNOVAEcuador/TI/EcecMUJgguVGquKNemp6nS0BJhwzzRCc_RYRP5r0c4-6VQ?e=jfeieA" TargetMode="External"/><Relationship Id="rId29" Type="http://schemas.openxmlformats.org/officeDocument/2006/relationships/hyperlink" Target="https://portalmst.novaseguroslatam.com/front/ticket.form.php?id=75110" TargetMode="External"/><Relationship Id="rId11" Type="http://schemas.openxmlformats.org/officeDocument/2006/relationships/hyperlink" Target="https://dev.azure.com/nroman/PORTAL%20CORPORATIVO/_workitems/edit/149" TargetMode="External"/><Relationship Id="rId24" Type="http://schemas.openxmlformats.org/officeDocument/2006/relationships/hyperlink" Target="https://portalmst.novaseguroslatam.com/front/ticket.form.php?id=75110" TargetMode="External"/><Relationship Id="rId32" Type="http://schemas.openxmlformats.org/officeDocument/2006/relationships/hyperlink" Target="https://portalmst.novaseguroslatam.com/front/ticket.form.php?id=75110" TargetMode="External"/><Relationship Id="rId37" Type="http://schemas.openxmlformats.org/officeDocument/2006/relationships/hyperlink" Target="https://portalmst.novaseguroslatam.com/front/ticket.form.php?id=75110" TargetMode="External"/><Relationship Id="rId40" Type="http://schemas.openxmlformats.org/officeDocument/2006/relationships/hyperlink" Target="https://portalmst.novaseguroslatam.com/front/ticket.form.php?id=75110" TargetMode="External"/><Relationship Id="rId45" Type="http://schemas.openxmlformats.org/officeDocument/2006/relationships/hyperlink" Target="https://portalmst.novaseguroslatam.com/front/ticket.form.php?id=75110" TargetMode="External"/><Relationship Id="rId53" Type="http://schemas.openxmlformats.org/officeDocument/2006/relationships/hyperlink" Target="https://portalmst.novaseguroslatam.com/front/ticket.form.php?id=75110" TargetMode="External"/><Relationship Id="rId58" Type="http://schemas.openxmlformats.org/officeDocument/2006/relationships/hyperlink" Target="https://portalmst.novaseguroslatam.com/front/ticket.form.php?id=75110" TargetMode="External"/><Relationship Id="rId66" Type="http://schemas.openxmlformats.org/officeDocument/2006/relationships/hyperlink" Target="https://portalmst.novaseguroslatam.com/front/ticket.form.php?id=75110" TargetMode="External"/><Relationship Id="rId5" Type="http://schemas.openxmlformats.org/officeDocument/2006/relationships/hyperlink" Target="https://portalmst.novaseguroslatam.com/front/ticket.form.php?id=75110" TargetMode="External"/><Relationship Id="rId61" Type="http://schemas.openxmlformats.org/officeDocument/2006/relationships/hyperlink" Target="https://portalmst.novaseguroslatam.com/front/ticket.form.php?id=75110" TargetMode="External"/><Relationship Id="rId19" Type="http://schemas.openxmlformats.org/officeDocument/2006/relationships/hyperlink" Target="https://portalmst.novaseguroslatam.com/front/ticket.form.php?id=75110" TargetMode="External"/><Relationship Id="rId14" Type="http://schemas.openxmlformats.org/officeDocument/2006/relationships/hyperlink" Target="https://lucid.app/lucidchart/79575f78-2f0c-4260-b978-871ecee6c1b0/edit?invitationId=inv_c98ae853-bc06-406d-9de3-779262633fa8&amp;page=yc_EI-4QQiJN" TargetMode="External"/><Relationship Id="rId22" Type="http://schemas.openxmlformats.org/officeDocument/2006/relationships/hyperlink" Target="https://portalmst.novaseguroslatam.com/front/ticket.form.php?id=75110" TargetMode="External"/><Relationship Id="rId27" Type="http://schemas.openxmlformats.org/officeDocument/2006/relationships/hyperlink" Target="https://lucid.app/lucidchart/79575f78-2f0c-4260-b978-871ecee6c1b0/edit?invitationId=inv_c98ae853-bc06-406d-9de3-779262633fa8&amp;page=yc_EI-4QQiJN" TargetMode="External"/><Relationship Id="rId30" Type="http://schemas.openxmlformats.org/officeDocument/2006/relationships/hyperlink" Target="https://lucid.app/lucidchart/79575f78-2f0c-4260-b978-871ecee6c1b0/edit?invitationId=inv_c98ae853-bc06-406d-9de3-779262633fa8&amp;page=yc_EI-4QQiJN" TargetMode="External"/><Relationship Id="rId35" Type="http://schemas.openxmlformats.org/officeDocument/2006/relationships/hyperlink" Target="https://portalmst.novaseguroslatam.com/front/ticket.form.php?id=75110" TargetMode="External"/><Relationship Id="rId43" Type="http://schemas.openxmlformats.org/officeDocument/2006/relationships/hyperlink" Target="https://portalmst.novaseguroslatam.com/front/ticket.form.php?id=75110" TargetMode="External"/><Relationship Id="rId48" Type="http://schemas.openxmlformats.org/officeDocument/2006/relationships/hyperlink" Target="https://portalmst.novaseguroslatam.com/front/ticket.form.php?id=75110" TargetMode="External"/><Relationship Id="rId56" Type="http://schemas.openxmlformats.org/officeDocument/2006/relationships/hyperlink" Target="https://portalmst.novaseguroslatam.com/front/ticket.form.php?id=75110" TargetMode="External"/><Relationship Id="rId64" Type="http://schemas.openxmlformats.org/officeDocument/2006/relationships/hyperlink" Target="https://portalmst.novaseguroslatam.com/front/ticket.form.php?id=75110" TargetMode="External"/><Relationship Id="rId8" Type="http://schemas.openxmlformats.org/officeDocument/2006/relationships/hyperlink" Target="https://dev.azure.com/nroman/PORTAL%20CORPORATIVO/_workitems/edit/156" TargetMode="External"/><Relationship Id="rId51" Type="http://schemas.openxmlformats.org/officeDocument/2006/relationships/hyperlink" Target="https://portalmst.novaseguroslatam.com/front/ticket.form.php?id=75110" TargetMode="External"/><Relationship Id="rId3" Type="http://schemas.openxmlformats.org/officeDocument/2006/relationships/hyperlink" Target="https://portalmst.novaseguroslatam.com/front/ticket.form.php?id=75110" TargetMode="External"/><Relationship Id="rId12" Type="http://schemas.openxmlformats.org/officeDocument/2006/relationships/hyperlink" Target="https://portalmst.novaseguroslatam.com/front/ticket.form.php?id=75110" TargetMode="External"/><Relationship Id="rId17" Type="http://schemas.openxmlformats.org/officeDocument/2006/relationships/hyperlink" Target="https://lucid.app/lucidchart/79575f78-2f0c-4260-b978-871ecee6c1b0/edit?invitationId=inv_c98ae853-bc06-406d-9de3-779262633fa8&amp;page=yc_EI-4QQiJN" TargetMode="External"/><Relationship Id="rId25" Type="http://schemas.openxmlformats.org/officeDocument/2006/relationships/hyperlink" Target="https://portalmst.novaseguroslatam.com/front/ticket.form.php?id=75110" TargetMode="External"/><Relationship Id="rId33" Type="http://schemas.openxmlformats.org/officeDocument/2006/relationships/hyperlink" Target="https://lucid.app/lucidchart/79575f78-2f0c-4260-b978-871ecee6c1b0/edit?invitationId=inv_c98ae853-bc06-406d-9de3-779262633fa8&amp;page=yc_EI-4QQiJN" TargetMode="External"/><Relationship Id="rId38" Type="http://schemas.openxmlformats.org/officeDocument/2006/relationships/hyperlink" Target="https://portalmst.novaseguroslatam.com/front/ticket.form.php?id=75110" TargetMode="External"/><Relationship Id="rId46" Type="http://schemas.openxmlformats.org/officeDocument/2006/relationships/hyperlink" Target="https://portalmst.novaseguroslatam.com/front/ticket.form.php?id=75110" TargetMode="External"/><Relationship Id="rId59" Type="http://schemas.openxmlformats.org/officeDocument/2006/relationships/hyperlink" Target="https://portalmst.novaseguroslatam.com/front/ticket.form.php?id=75110" TargetMode="External"/><Relationship Id="rId67" Type="http://schemas.openxmlformats.org/officeDocument/2006/relationships/hyperlink" Target="https://portalmst.novaseguroslatam.com/front/ticket.form.php?id=75110" TargetMode="External"/><Relationship Id="rId20" Type="http://schemas.openxmlformats.org/officeDocument/2006/relationships/hyperlink" Target="https://portalmst.novaseguroslatam.com/front/ticket.form.php?id=75110" TargetMode="External"/><Relationship Id="rId41" Type="http://schemas.openxmlformats.org/officeDocument/2006/relationships/hyperlink" Target="https://portalmst.novaseguroslatam.com/front/ticket.form.php?id=75110" TargetMode="External"/><Relationship Id="rId54" Type="http://schemas.openxmlformats.org/officeDocument/2006/relationships/hyperlink" Target="https://portalmst.novaseguroslatam.com/front/ticket.form.php?id=75110" TargetMode="External"/><Relationship Id="rId62" Type="http://schemas.openxmlformats.org/officeDocument/2006/relationships/hyperlink" Target="https://portalmst.novaseguroslatam.com/front/ticket.form.php?id=75110" TargetMode="External"/><Relationship Id="rId1" Type="http://schemas.openxmlformats.org/officeDocument/2006/relationships/hyperlink" Target="https://portalmst.novaseguroslatam.com/front/ticket.form.php?id=75110" TargetMode="External"/><Relationship Id="rId6" Type="http://schemas.openxmlformats.org/officeDocument/2006/relationships/hyperlink" Target="https://dev.azure.com/nroman/PORTAL%20CORPORATIVO/_workitems/edit/156" TargetMode="External"/><Relationship Id="rId15" Type="http://schemas.openxmlformats.org/officeDocument/2006/relationships/hyperlink" Target="https://portalmst.novaseguroslatam.com/front/ticket.form.php?id=75110" TargetMode="External"/><Relationship Id="rId23" Type="http://schemas.openxmlformats.org/officeDocument/2006/relationships/hyperlink" Target="https://lucid.app/lucidchart/79575f78-2f0c-4260-b978-871ecee6c1b0/edit?invitationId=inv_c98ae853-bc06-406d-9de3-779262633fa8&amp;page=yc_EI-4QQiJN" TargetMode="External"/><Relationship Id="rId28" Type="http://schemas.openxmlformats.org/officeDocument/2006/relationships/hyperlink" Target="https://portalmst.novaseguroslatam.com/front/ticket.form.php?id=75110" TargetMode="External"/><Relationship Id="rId36" Type="http://schemas.openxmlformats.org/officeDocument/2006/relationships/hyperlink" Target="https://lucid.app/lucidchart/79575f78-2f0c-4260-b978-871ecee6c1b0/edit?invitationId=inv_c98ae853-bc06-406d-9de3-779262633fa8&amp;page=yc_EI-4QQiJN" TargetMode="External"/><Relationship Id="rId49" Type="http://schemas.openxmlformats.org/officeDocument/2006/relationships/hyperlink" Target="https://portalmst.novaseguroslatam.com/front/ticket.form.php?id=75110" TargetMode="External"/><Relationship Id="rId57" Type="http://schemas.openxmlformats.org/officeDocument/2006/relationships/hyperlink" Target="https://portalmst.novaseguroslatam.com/front/ticket.form.php?id=75110" TargetMode="External"/><Relationship Id="rId10" Type="http://schemas.openxmlformats.org/officeDocument/2006/relationships/hyperlink" Target="https://dev.azure.com/nroman/PORTAL%20CORPORATIVO/_workitems/edit/156" TargetMode="External"/><Relationship Id="rId31" Type="http://schemas.openxmlformats.org/officeDocument/2006/relationships/hyperlink" Target="https://portalmst.novaseguroslatam.com/front/ticket.form.php?id=75110" TargetMode="External"/><Relationship Id="rId44" Type="http://schemas.openxmlformats.org/officeDocument/2006/relationships/hyperlink" Target="https://portalmst.novaseguroslatam.com/front/ticket.form.php?id=75110" TargetMode="External"/><Relationship Id="rId52" Type="http://schemas.openxmlformats.org/officeDocument/2006/relationships/hyperlink" Target="https://portalmst.novaseguroslatam.com/front/ticket.form.php?id=75110" TargetMode="External"/><Relationship Id="rId60" Type="http://schemas.openxmlformats.org/officeDocument/2006/relationships/hyperlink" Target="https://portalmst.novaseguroslatam.com/front/ticket.form.php?id=75110" TargetMode="External"/><Relationship Id="rId65" Type="http://schemas.openxmlformats.org/officeDocument/2006/relationships/hyperlink" Target="https://portalmst.novaseguroslatam.com/front/ticket.form.php?id=75110" TargetMode="External"/><Relationship Id="rId4" Type="http://schemas.openxmlformats.org/officeDocument/2006/relationships/hyperlink" Target="https://dev.azure.com/nroman/PORTAL%20CORPORATIVO/_workitems/edit/149" TargetMode="External"/><Relationship Id="rId9" Type="http://schemas.openxmlformats.org/officeDocument/2006/relationships/hyperlink" Target="https://portalmst.novaseguroslatam.com/front/ticket.form.php?id=75110" TargetMode="External"/><Relationship Id="rId13" Type="http://schemas.openxmlformats.org/officeDocument/2006/relationships/hyperlink" Target="https://dev.azure.com/nroman/PORTAL%20CORPORATIVO/_workitems/edit/149" TargetMode="External"/><Relationship Id="rId18" Type="http://schemas.openxmlformats.org/officeDocument/2006/relationships/hyperlink" Target="https://portalmst.novaseguroslatam.com/front/ticket.form.php?id=75110" TargetMode="External"/><Relationship Id="rId39" Type="http://schemas.openxmlformats.org/officeDocument/2006/relationships/hyperlink" Target="https://portalmst.novaseguroslatam.com/front/ticket.form.php?id=7511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E9F8-ABEC-4888-B336-53A85A5EE047}">
  <dimension ref="A1:L127"/>
  <sheetViews>
    <sheetView tabSelected="1" topLeftCell="A71" zoomScale="55" zoomScaleNormal="55" workbookViewId="0">
      <selection sqref="A1:J1"/>
    </sheetView>
  </sheetViews>
  <sheetFormatPr baseColWidth="10" defaultColWidth="11.44140625" defaultRowHeight="13.8" x14ac:dyDescent="0.3"/>
  <cols>
    <col min="1" max="1" width="3.6640625" style="1" customWidth="1"/>
    <col min="2" max="2" width="17.109375" style="1" customWidth="1"/>
    <col min="3" max="3" width="8.109375" style="1" customWidth="1"/>
    <col min="4" max="4" width="32.109375" style="1" customWidth="1"/>
    <col min="5" max="5" width="28.44140625" style="1" customWidth="1"/>
    <col min="6" max="6" width="20.44140625" style="1" customWidth="1"/>
    <col min="7" max="7" width="35.44140625" style="1" customWidth="1"/>
    <col min="8" max="8" width="10.5546875" style="4" customWidth="1"/>
    <col min="9" max="9" width="5.5546875" style="4" customWidth="1"/>
    <col min="10" max="10" width="8.6640625" style="1" customWidth="1"/>
    <col min="11" max="16384" width="11.44140625" style="1"/>
  </cols>
  <sheetData>
    <row r="1" spans="1:12" ht="42" customHeight="1" x14ac:dyDescent="0.3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</row>
    <row r="2" spans="1:12" ht="14.4" customHeight="1" x14ac:dyDescent="0.3">
      <c r="A2" s="42" t="s">
        <v>1</v>
      </c>
      <c r="B2" s="43"/>
      <c r="C2" s="50">
        <v>45931</v>
      </c>
      <c r="D2" s="50"/>
      <c r="H2" s="1"/>
      <c r="I2" s="1"/>
    </row>
    <row r="3" spans="1:12" ht="14.4" customHeight="1" x14ac:dyDescent="0.3">
      <c r="A3" s="42" t="s">
        <v>2</v>
      </c>
      <c r="B3" s="43"/>
      <c r="C3" s="44" t="s">
        <v>3</v>
      </c>
      <c r="D3" s="44"/>
      <c r="H3" s="1"/>
      <c r="I3" s="1"/>
    </row>
    <row r="4" spans="1:12" ht="14.4" customHeight="1" x14ac:dyDescent="0.3">
      <c r="A4" s="42" t="s">
        <v>4</v>
      </c>
      <c r="B4" s="43"/>
      <c r="C4" s="44" t="s">
        <v>5</v>
      </c>
      <c r="D4" s="44"/>
      <c r="H4" s="1"/>
      <c r="I4" s="1"/>
    </row>
    <row r="5" spans="1:12" ht="15" customHeight="1" x14ac:dyDescent="0.3">
      <c r="A5" s="42" t="s">
        <v>6</v>
      </c>
      <c r="B5" s="43"/>
      <c r="C5" s="44" t="s">
        <v>7</v>
      </c>
      <c r="D5" s="44"/>
      <c r="H5" s="1"/>
      <c r="I5" s="1"/>
    </row>
    <row r="6" spans="1:12" ht="15" customHeight="1" x14ac:dyDescent="0.3">
      <c r="A6" s="42" t="s">
        <v>8</v>
      </c>
      <c r="B6" s="43"/>
      <c r="C6" s="45" t="s">
        <v>9</v>
      </c>
      <c r="D6" s="46"/>
      <c r="H6" s="1"/>
      <c r="I6" s="1"/>
    </row>
    <row r="7" spans="1:12" x14ac:dyDescent="0.3">
      <c r="A7" s="2"/>
      <c r="B7" s="3"/>
      <c r="C7" s="2"/>
      <c r="D7" s="2"/>
      <c r="E7" s="2"/>
    </row>
    <row r="8" spans="1:12" ht="15" customHeight="1" x14ac:dyDescent="0.3">
      <c r="A8" s="47" t="s">
        <v>10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</row>
    <row r="9" spans="1:12" ht="41.4" x14ac:dyDescent="0.3">
      <c r="A9" s="5" t="s">
        <v>11</v>
      </c>
      <c r="B9" s="5" t="s">
        <v>12</v>
      </c>
      <c r="C9" s="5" t="s">
        <v>13</v>
      </c>
      <c r="D9" s="5" t="s">
        <v>14</v>
      </c>
      <c r="E9" s="5" t="s">
        <v>15</v>
      </c>
      <c r="F9" s="6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</row>
    <row r="10" spans="1:12" ht="14.4" x14ac:dyDescent="0.3">
      <c r="A10" s="7">
        <v>1</v>
      </c>
      <c r="B10" s="8" t="s">
        <v>23</v>
      </c>
      <c r="C10" s="8">
        <v>75110</v>
      </c>
      <c r="D10" s="9" t="s">
        <v>24</v>
      </c>
      <c r="E10" s="9" t="s">
        <v>25</v>
      </c>
      <c r="F10" s="9" t="s">
        <v>26</v>
      </c>
      <c r="G10" s="10" t="s">
        <v>27</v>
      </c>
      <c r="H10" s="11">
        <v>45901</v>
      </c>
      <c r="I10" s="12">
        <v>0.5</v>
      </c>
      <c r="J10" s="9" t="s">
        <v>28</v>
      </c>
      <c r="K10" s="9" t="s">
        <v>29</v>
      </c>
      <c r="L10" s="9" t="s">
        <v>30</v>
      </c>
    </row>
    <row r="11" spans="1:12" ht="27.6" x14ac:dyDescent="0.3">
      <c r="A11" s="7">
        <v>2</v>
      </c>
      <c r="B11" s="13" t="s">
        <v>31</v>
      </c>
      <c r="C11" s="13">
        <v>71373</v>
      </c>
      <c r="D11" s="9" t="s">
        <v>32</v>
      </c>
      <c r="E11" s="9" t="s">
        <v>33</v>
      </c>
      <c r="F11" s="9" t="s">
        <v>34</v>
      </c>
      <c r="G11" s="14" t="s">
        <v>35</v>
      </c>
      <c r="H11" s="11">
        <v>45901</v>
      </c>
      <c r="I11" s="15">
        <v>0.5</v>
      </c>
      <c r="J11" s="9" t="s">
        <v>28</v>
      </c>
      <c r="K11" s="9" t="s">
        <v>29</v>
      </c>
      <c r="L11" s="9" t="s">
        <v>30</v>
      </c>
    </row>
    <row r="12" spans="1:12" ht="56.25" customHeight="1" x14ac:dyDescent="0.3">
      <c r="A12" s="7">
        <v>3</v>
      </c>
      <c r="B12" s="8" t="s">
        <v>23</v>
      </c>
      <c r="C12" s="8">
        <v>75110</v>
      </c>
      <c r="D12" s="9" t="s">
        <v>24</v>
      </c>
      <c r="E12" s="9" t="s">
        <v>36</v>
      </c>
      <c r="F12" s="9" t="s">
        <v>37</v>
      </c>
      <c r="G12" s="10" t="s">
        <v>38</v>
      </c>
      <c r="H12" s="11">
        <v>45901</v>
      </c>
      <c r="I12" s="12">
        <v>4</v>
      </c>
      <c r="J12" s="9" t="s">
        <v>28</v>
      </c>
      <c r="K12" s="9" t="s">
        <v>29</v>
      </c>
      <c r="L12" s="9" t="s">
        <v>30</v>
      </c>
    </row>
    <row r="13" spans="1:12" ht="177" customHeight="1" x14ac:dyDescent="0.3">
      <c r="A13" s="7">
        <v>4</v>
      </c>
      <c r="B13" s="13" t="s">
        <v>31</v>
      </c>
      <c r="C13" s="13">
        <v>71373</v>
      </c>
      <c r="D13" s="9" t="s">
        <v>32</v>
      </c>
      <c r="E13" s="9" t="s">
        <v>39</v>
      </c>
      <c r="F13" s="9" t="s">
        <v>34</v>
      </c>
      <c r="G13" s="14" t="s">
        <v>35</v>
      </c>
      <c r="H13" s="11">
        <v>45901</v>
      </c>
      <c r="I13" s="15">
        <v>3</v>
      </c>
      <c r="J13" s="9" t="s">
        <v>28</v>
      </c>
      <c r="K13" s="9" t="s">
        <v>29</v>
      </c>
      <c r="L13" s="9" t="s">
        <v>30</v>
      </c>
    </row>
    <row r="14" spans="1:12" ht="14.4" x14ac:dyDescent="0.3">
      <c r="A14" s="7">
        <v>5</v>
      </c>
      <c r="B14" s="8" t="s">
        <v>23</v>
      </c>
      <c r="C14" s="8">
        <v>75110</v>
      </c>
      <c r="D14" s="9" t="s">
        <v>24</v>
      </c>
      <c r="E14" s="9" t="s">
        <v>25</v>
      </c>
      <c r="F14" s="9" t="s">
        <v>26</v>
      </c>
      <c r="G14" s="10" t="s">
        <v>27</v>
      </c>
      <c r="H14" s="11">
        <v>45902</v>
      </c>
      <c r="I14" s="12">
        <v>0.5</v>
      </c>
      <c r="J14" s="9" t="s">
        <v>28</v>
      </c>
      <c r="K14" s="9" t="s">
        <v>29</v>
      </c>
      <c r="L14" s="9" t="s">
        <v>30</v>
      </c>
    </row>
    <row r="15" spans="1:12" ht="27.6" x14ac:dyDescent="0.3">
      <c r="A15" s="7">
        <v>6</v>
      </c>
      <c r="B15" s="13" t="s">
        <v>31</v>
      </c>
      <c r="C15" s="13">
        <v>71373</v>
      </c>
      <c r="D15" s="9" t="s">
        <v>32</v>
      </c>
      <c r="E15" s="9" t="s">
        <v>33</v>
      </c>
      <c r="F15" s="9" t="s">
        <v>34</v>
      </c>
      <c r="G15" s="14" t="s">
        <v>35</v>
      </c>
      <c r="H15" s="11">
        <v>45902</v>
      </c>
      <c r="I15" s="15">
        <v>0.5</v>
      </c>
      <c r="J15" s="9" t="s">
        <v>28</v>
      </c>
      <c r="K15" s="9" t="s">
        <v>29</v>
      </c>
      <c r="L15" s="9" t="s">
        <v>30</v>
      </c>
    </row>
    <row r="16" spans="1:12" ht="53.25" customHeight="1" x14ac:dyDescent="0.3">
      <c r="A16" s="7">
        <v>7</v>
      </c>
      <c r="B16" s="8" t="s">
        <v>23</v>
      </c>
      <c r="C16" s="8">
        <v>75110</v>
      </c>
      <c r="D16" s="9" t="s">
        <v>24</v>
      </c>
      <c r="E16" s="9" t="s">
        <v>40</v>
      </c>
      <c r="F16" s="9" t="s">
        <v>37</v>
      </c>
      <c r="G16" s="10" t="s">
        <v>38</v>
      </c>
      <c r="H16" s="11">
        <v>45902</v>
      </c>
      <c r="I16" s="12">
        <v>3</v>
      </c>
      <c r="J16" s="9" t="s">
        <v>28</v>
      </c>
      <c r="K16" s="9" t="s">
        <v>29</v>
      </c>
      <c r="L16" s="9" t="s">
        <v>30</v>
      </c>
    </row>
    <row r="17" spans="1:12" ht="27.6" x14ac:dyDescent="0.3">
      <c r="A17" s="7">
        <v>8</v>
      </c>
      <c r="B17" s="13" t="s">
        <v>31</v>
      </c>
      <c r="C17" s="13">
        <v>71373</v>
      </c>
      <c r="D17" s="9" t="s">
        <v>32</v>
      </c>
      <c r="E17" s="9" t="s">
        <v>33</v>
      </c>
      <c r="F17" s="9" t="s">
        <v>34</v>
      </c>
      <c r="G17" s="14" t="s">
        <v>35</v>
      </c>
      <c r="H17" s="11">
        <v>45902</v>
      </c>
      <c r="I17" s="15">
        <v>0.5</v>
      </c>
      <c r="J17" s="9" t="s">
        <v>28</v>
      </c>
      <c r="K17" s="9" t="s">
        <v>29</v>
      </c>
      <c r="L17" s="9" t="s">
        <v>30</v>
      </c>
    </row>
    <row r="18" spans="1:12" ht="27.6" x14ac:dyDescent="0.3">
      <c r="A18" s="7">
        <v>9</v>
      </c>
      <c r="B18" s="13" t="s">
        <v>31</v>
      </c>
      <c r="C18" s="13">
        <v>71373</v>
      </c>
      <c r="D18" s="9" t="s">
        <v>32</v>
      </c>
      <c r="E18" s="9" t="s">
        <v>33</v>
      </c>
      <c r="F18" s="9" t="s">
        <v>34</v>
      </c>
      <c r="G18" s="14" t="s">
        <v>35</v>
      </c>
      <c r="H18" s="11">
        <v>45902</v>
      </c>
      <c r="I18" s="15">
        <v>0.5</v>
      </c>
      <c r="J18" s="9" t="s">
        <v>28</v>
      </c>
      <c r="K18" s="9" t="s">
        <v>29</v>
      </c>
      <c r="L18" s="9" t="s">
        <v>30</v>
      </c>
    </row>
    <row r="19" spans="1:12" ht="36.75" customHeight="1" x14ac:dyDescent="0.3">
      <c r="A19" s="7">
        <v>10</v>
      </c>
      <c r="B19" s="13" t="s">
        <v>31</v>
      </c>
      <c r="C19" s="13">
        <v>71373</v>
      </c>
      <c r="D19" s="9" t="s">
        <v>32</v>
      </c>
      <c r="E19" s="9" t="s">
        <v>41</v>
      </c>
      <c r="F19" s="9" t="s">
        <v>34</v>
      </c>
      <c r="G19" s="14" t="s">
        <v>35</v>
      </c>
      <c r="H19" s="11">
        <v>45902</v>
      </c>
      <c r="I19" s="15">
        <v>3</v>
      </c>
      <c r="J19" s="9" t="s">
        <v>28</v>
      </c>
      <c r="K19" s="9" t="s">
        <v>29</v>
      </c>
      <c r="L19" s="9" t="s">
        <v>30</v>
      </c>
    </row>
    <row r="20" spans="1:12" ht="14.4" x14ac:dyDescent="0.3">
      <c r="A20" s="7">
        <v>11</v>
      </c>
      <c r="B20" s="8" t="s">
        <v>23</v>
      </c>
      <c r="C20" s="8">
        <v>75110</v>
      </c>
      <c r="D20" s="9" t="s">
        <v>24</v>
      </c>
      <c r="E20" s="9" t="s">
        <v>25</v>
      </c>
      <c r="F20" s="9" t="s">
        <v>26</v>
      </c>
      <c r="G20" s="10" t="s">
        <v>27</v>
      </c>
      <c r="H20" s="11">
        <v>45903</v>
      </c>
      <c r="I20" s="12">
        <v>0.5</v>
      </c>
      <c r="J20" s="9" t="s">
        <v>28</v>
      </c>
      <c r="K20" s="9" t="s">
        <v>29</v>
      </c>
      <c r="L20" s="9" t="s">
        <v>30</v>
      </c>
    </row>
    <row r="21" spans="1:12" ht="32.25" customHeight="1" x14ac:dyDescent="0.3">
      <c r="A21" s="7">
        <v>12</v>
      </c>
      <c r="B21" s="13" t="s">
        <v>31</v>
      </c>
      <c r="C21" s="13">
        <v>71373</v>
      </c>
      <c r="D21" s="9" t="s">
        <v>32</v>
      </c>
      <c r="E21" s="9" t="s">
        <v>33</v>
      </c>
      <c r="F21" s="9" t="s">
        <v>34</v>
      </c>
      <c r="G21" s="14" t="s">
        <v>35</v>
      </c>
      <c r="H21" s="11">
        <v>45903</v>
      </c>
      <c r="I21" s="15">
        <v>0.5</v>
      </c>
      <c r="J21" s="9" t="s">
        <v>28</v>
      </c>
      <c r="K21" s="9" t="s">
        <v>29</v>
      </c>
      <c r="L21" s="9" t="s">
        <v>30</v>
      </c>
    </row>
    <row r="22" spans="1:12" ht="183" customHeight="1" x14ac:dyDescent="0.3">
      <c r="A22" s="7">
        <v>13</v>
      </c>
      <c r="B22" s="8" t="s">
        <v>23</v>
      </c>
      <c r="C22" s="8">
        <v>75110</v>
      </c>
      <c r="D22" s="9" t="s">
        <v>24</v>
      </c>
      <c r="E22" s="9" t="s">
        <v>42</v>
      </c>
      <c r="F22" s="9" t="s">
        <v>37</v>
      </c>
      <c r="G22" s="10" t="s">
        <v>43</v>
      </c>
      <c r="H22" s="11">
        <v>45903</v>
      </c>
      <c r="I22" s="12">
        <v>7</v>
      </c>
      <c r="J22" s="9" t="s">
        <v>28</v>
      </c>
      <c r="K22" s="9" t="s">
        <v>29</v>
      </c>
      <c r="L22" s="9" t="s">
        <v>30</v>
      </c>
    </row>
    <row r="23" spans="1:12" ht="14.4" x14ac:dyDescent="0.3">
      <c r="A23" s="7">
        <v>14</v>
      </c>
      <c r="B23" s="8" t="s">
        <v>23</v>
      </c>
      <c r="C23" s="8">
        <v>75110</v>
      </c>
      <c r="D23" s="9" t="s">
        <v>24</v>
      </c>
      <c r="E23" s="9" t="s">
        <v>25</v>
      </c>
      <c r="F23" s="9" t="s">
        <v>26</v>
      </c>
      <c r="G23" s="10" t="s">
        <v>27</v>
      </c>
      <c r="H23" s="11">
        <v>45904</v>
      </c>
      <c r="I23" s="12">
        <v>0.5</v>
      </c>
      <c r="J23" s="9" t="s">
        <v>28</v>
      </c>
      <c r="K23" s="9" t="s">
        <v>29</v>
      </c>
      <c r="L23" s="9" t="s">
        <v>30</v>
      </c>
    </row>
    <row r="24" spans="1:12" ht="36" customHeight="1" x14ac:dyDescent="0.3">
      <c r="A24" s="7">
        <v>15</v>
      </c>
      <c r="B24" s="13" t="s">
        <v>31</v>
      </c>
      <c r="C24" s="13">
        <v>71373</v>
      </c>
      <c r="D24" s="9" t="s">
        <v>32</v>
      </c>
      <c r="E24" s="9" t="s">
        <v>33</v>
      </c>
      <c r="F24" s="9" t="s">
        <v>34</v>
      </c>
      <c r="G24" s="14" t="s">
        <v>35</v>
      </c>
      <c r="H24" s="11">
        <v>45904</v>
      </c>
      <c r="I24" s="15">
        <v>0.5</v>
      </c>
      <c r="J24" s="9" t="s">
        <v>28</v>
      </c>
      <c r="K24" s="9" t="s">
        <v>29</v>
      </c>
      <c r="L24" s="9" t="s">
        <v>30</v>
      </c>
    </row>
    <row r="25" spans="1:12" ht="166.5" customHeight="1" x14ac:dyDescent="0.3">
      <c r="A25" s="7">
        <v>16</v>
      </c>
      <c r="B25" s="8" t="s">
        <v>23</v>
      </c>
      <c r="C25" s="8">
        <v>75110</v>
      </c>
      <c r="D25" s="9" t="s">
        <v>24</v>
      </c>
      <c r="E25" s="9" t="s">
        <v>44</v>
      </c>
      <c r="F25" s="9" t="s">
        <v>37</v>
      </c>
      <c r="G25" s="10" t="s">
        <v>43</v>
      </c>
      <c r="H25" s="11">
        <v>45904</v>
      </c>
      <c r="I25" s="12">
        <v>7</v>
      </c>
      <c r="J25" s="9" t="s">
        <v>28</v>
      </c>
      <c r="K25" s="9" t="s">
        <v>29</v>
      </c>
      <c r="L25" s="9" t="s">
        <v>30</v>
      </c>
    </row>
    <row r="26" spans="1:12" ht="14.4" x14ac:dyDescent="0.3">
      <c r="A26" s="7">
        <v>17</v>
      </c>
      <c r="B26" s="8" t="s">
        <v>23</v>
      </c>
      <c r="C26" s="8">
        <v>75110</v>
      </c>
      <c r="D26" s="9" t="s">
        <v>24</v>
      </c>
      <c r="E26" s="9" t="s">
        <v>25</v>
      </c>
      <c r="F26" s="9" t="s">
        <v>26</v>
      </c>
      <c r="G26" s="10" t="s">
        <v>27</v>
      </c>
      <c r="H26" s="11">
        <v>45905</v>
      </c>
      <c r="I26" s="12">
        <v>0.5</v>
      </c>
      <c r="J26" s="9" t="s">
        <v>28</v>
      </c>
      <c r="K26" s="9" t="s">
        <v>29</v>
      </c>
      <c r="L26" s="9" t="s">
        <v>30</v>
      </c>
    </row>
    <row r="27" spans="1:12" ht="27.6" x14ac:dyDescent="0.3">
      <c r="A27" s="7">
        <v>18</v>
      </c>
      <c r="B27" s="13" t="s">
        <v>31</v>
      </c>
      <c r="C27" s="13">
        <v>71373</v>
      </c>
      <c r="D27" s="9" t="s">
        <v>32</v>
      </c>
      <c r="E27" s="9" t="s">
        <v>33</v>
      </c>
      <c r="F27" s="9" t="s">
        <v>34</v>
      </c>
      <c r="G27" s="14" t="s">
        <v>35</v>
      </c>
      <c r="H27" s="11">
        <v>45905</v>
      </c>
      <c r="I27" s="15">
        <v>0.5</v>
      </c>
      <c r="J27" s="9" t="s">
        <v>28</v>
      </c>
      <c r="K27" s="9" t="s">
        <v>29</v>
      </c>
      <c r="L27" s="9" t="s">
        <v>30</v>
      </c>
    </row>
    <row r="28" spans="1:12" ht="171" customHeight="1" x14ac:dyDescent="0.3">
      <c r="A28" s="7">
        <v>19</v>
      </c>
      <c r="B28" s="8" t="s">
        <v>23</v>
      </c>
      <c r="C28" s="8">
        <v>75110</v>
      </c>
      <c r="D28" s="9" t="s">
        <v>24</v>
      </c>
      <c r="E28" s="9" t="s">
        <v>45</v>
      </c>
      <c r="F28" s="9" t="s">
        <v>37</v>
      </c>
      <c r="G28" s="10" t="s">
        <v>43</v>
      </c>
      <c r="H28" s="11">
        <v>45905</v>
      </c>
      <c r="I28" s="12">
        <v>5</v>
      </c>
      <c r="J28" s="9" t="s">
        <v>28</v>
      </c>
      <c r="K28" s="9" t="s">
        <v>29</v>
      </c>
      <c r="L28" s="9" t="s">
        <v>30</v>
      </c>
    </row>
    <row r="29" spans="1:12" ht="74.25" customHeight="1" x14ac:dyDescent="0.3">
      <c r="A29" s="7">
        <v>20</v>
      </c>
      <c r="B29" s="8" t="s">
        <v>23</v>
      </c>
      <c r="C29" s="8">
        <v>75110</v>
      </c>
      <c r="D29" s="9" t="s">
        <v>24</v>
      </c>
      <c r="E29" s="9" t="s">
        <v>46</v>
      </c>
      <c r="F29" s="9" t="s">
        <v>37</v>
      </c>
      <c r="G29" s="10" t="s">
        <v>38</v>
      </c>
      <c r="H29" s="11">
        <v>45905</v>
      </c>
      <c r="I29" s="12">
        <v>2</v>
      </c>
      <c r="J29" s="9" t="s">
        <v>28</v>
      </c>
      <c r="K29" s="9" t="s">
        <v>29</v>
      </c>
      <c r="L29" s="9" t="s">
        <v>30</v>
      </c>
    </row>
    <row r="30" spans="1:12" ht="14.4" x14ac:dyDescent="0.3">
      <c r="A30" s="7">
        <v>21</v>
      </c>
      <c r="B30" s="8" t="s">
        <v>23</v>
      </c>
      <c r="C30" s="8">
        <v>75110</v>
      </c>
      <c r="D30" s="9" t="s">
        <v>24</v>
      </c>
      <c r="E30" s="9" t="s">
        <v>25</v>
      </c>
      <c r="F30" s="9" t="s">
        <v>26</v>
      </c>
      <c r="G30" s="10" t="s">
        <v>27</v>
      </c>
      <c r="H30" s="11">
        <v>45908</v>
      </c>
      <c r="I30" s="12">
        <v>0.5</v>
      </c>
      <c r="J30" s="9" t="s">
        <v>28</v>
      </c>
      <c r="K30" s="9" t="s">
        <v>29</v>
      </c>
      <c r="L30" s="9" t="s">
        <v>30</v>
      </c>
    </row>
    <row r="31" spans="1:12" ht="27.6" x14ac:dyDescent="0.3">
      <c r="A31" s="7">
        <v>22</v>
      </c>
      <c r="B31" s="13" t="s">
        <v>31</v>
      </c>
      <c r="C31" s="13">
        <v>71373</v>
      </c>
      <c r="D31" s="9" t="s">
        <v>32</v>
      </c>
      <c r="E31" s="9" t="s">
        <v>33</v>
      </c>
      <c r="F31" s="9" t="s">
        <v>34</v>
      </c>
      <c r="G31" s="14" t="s">
        <v>35</v>
      </c>
      <c r="H31" s="11">
        <v>45908</v>
      </c>
      <c r="I31" s="15">
        <v>0.5</v>
      </c>
      <c r="J31" s="9" t="s">
        <v>28</v>
      </c>
      <c r="K31" s="9" t="s">
        <v>29</v>
      </c>
      <c r="L31" s="9" t="s">
        <v>30</v>
      </c>
    </row>
    <row r="32" spans="1:12" ht="27.6" x14ac:dyDescent="0.3">
      <c r="A32" s="7">
        <v>23</v>
      </c>
      <c r="B32" s="13" t="s">
        <v>31</v>
      </c>
      <c r="C32" s="13">
        <v>71373</v>
      </c>
      <c r="D32" s="9" t="s">
        <v>32</v>
      </c>
      <c r="E32" s="9" t="s">
        <v>47</v>
      </c>
      <c r="F32" s="9" t="s">
        <v>34</v>
      </c>
      <c r="G32" s="14" t="s">
        <v>35</v>
      </c>
      <c r="H32" s="11">
        <v>45908</v>
      </c>
      <c r="I32" s="15">
        <v>0.5</v>
      </c>
      <c r="J32" s="9" t="s">
        <v>28</v>
      </c>
      <c r="K32" s="9" t="s">
        <v>29</v>
      </c>
      <c r="L32" s="9" t="s">
        <v>30</v>
      </c>
    </row>
    <row r="33" spans="1:12" ht="102.75" customHeight="1" x14ac:dyDescent="0.3">
      <c r="A33" s="7">
        <v>24</v>
      </c>
      <c r="B33" s="8" t="s">
        <v>23</v>
      </c>
      <c r="C33" s="8">
        <v>75110</v>
      </c>
      <c r="D33" s="9" t="s">
        <v>24</v>
      </c>
      <c r="E33" s="9" t="s">
        <v>48</v>
      </c>
      <c r="F33" s="9" t="s">
        <v>37</v>
      </c>
      <c r="G33" s="10" t="s">
        <v>38</v>
      </c>
      <c r="H33" s="11">
        <v>45908</v>
      </c>
      <c r="I33" s="12">
        <v>1.5</v>
      </c>
      <c r="J33" s="9" t="s">
        <v>28</v>
      </c>
      <c r="K33" s="9" t="s">
        <v>29</v>
      </c>
      <c r="L33" s="9" t="s">
        <v>30</v>
      </c>
    </row>
    <row r="34" spans="1:12" ht="87" customHeight="1" x14ac:dyDescent="0.3">
      <c r="A34" s="7">
        <v>25</v>
      </c>
      <c r="B34" s="8" t="s">
        <v>23</v>
      </c>
      <c r="C34" s="8">
        <v>75110</v>
      </c>
      <c r="D34" s="9" t="s">
        <v>24</v>
      </c>
      <c r="E34" s="9" t="s">
        <v>49</v>
      </c>
      <c r="F34" s="9" t="s">
        <v>26</v>
      </c>
      <c r="G34" s="10" t="s">
        <v>50</v>
      </c>
      <c r="H34" s="11">
        <v>45908</v>
      </c>
      <c r="I34" s="12">
        <v>5</v>
      </c>
      <c r="J34" s="9" t="s">
        <v>28</v>
      </c>
      <c r="K34" s="9" t="s">
        <v>29</v>
      </c>
      <c r="L34" s="9" t="s">
        <v>30</v>
      </c>
    </row>
    <row r="35" spans="1:12" ht="14.4" x14ac:dyDescent="0.3">
      <c r="A35" s="7">
        <v>26</v>
      </c>
      <c r="B35" s="8" t="s">
        <v>23</v>
      </c>
      <c r="C35" s="8">
        <v>75110</v>
      </c>
      <c r="D35" s="9" t="s">
        <v>24</v>
      </c>
      <c r="E35" s="9" t="s">
        <v>25</v>
      </c>
      <c r="F35" s="9" t="s">
        <v>26</v>
      </c>
      <c r="G35" s="10" t="s">
        <v>27</v>
      </c>
      <c r="H35" s="11">
        <v>45909</v>
      </c>
      <c r="I35" s="12">
        <v>0.5</v>
      </c>
      <c r="J35" s="9" t="s">
        <v>28</v>
      </c>
      <c r="K35" s="9" t="s">
        <v>29</v>
      </c>
      <c r="L35" s="9" t="s">
        <v>30</v>
      </c>
    </row>
    <row r="36" spans="1:12" ht="27.75" customHeight="1" x14ac:dyDescent="0.3">
      <c r="A36" s="7">
        <v>27</v>
      </c>
      <c r="B36" s="13" t="s">
        <v>31</v>
      </c>
      <c r="C36" s="13">
        <v>71373</v>
      </c>
      <c r="D36" s="9" t="s">
        <v>32</v>
      </c>
      <c r="E36" s="9" t="s">
        <v>33</v>
      </c>
      <c r="F36" s="9" t="s">
        <v>34</v>
      </c>
      <c r="G36" s="14" t="s">
        <v>35</v>
      </c>
      <c r="H36" s="11">
        <v>45909</v>
      </c>
      <c r="I36" s="15">
        <v>0.5</v>
      </c>
      <c r="J36" s="9" t="s">
        <v>28</v>
      </c>
      <c r="K36" s="9" t="s">
        <v>29</v>
      </c>
      <c r="L36" s="9" t="s">
        <v>30</v>
      </c>
    </row>
    <row r="37" spans="1:12" ht="41.4" x14ac:dyDescent="0.3">
      <c r="A37" s="7">
        <v>28</v>
      </c>
      <c r="B37" s="13" t="s">
        <v>31</v>
      </c>
      <c r="C37" s="13">
        <v>71373</v>
      </c>
      <c r="D37" s="9" t="s">
        <v>32</v>
      </c>
      <c r="E37" s="9" t="s">
        <v>51</v>
      </c>
      <c r="F37" s="9" t="s">
        <v>34</v>
      </c>
      <c r="G37" s="14" t="s">
        <v>35</v>
      </c>
      <c r="H37" s="11">
        <v>45909</v>
      </c>
      <c r="I37" s="15">
        <v>1</v>
      </c>
      <c r="J37" s="9" t="s">
        <v>28</v>
      </c>
      <c r="K37" s="9" t="s">
        <v>29</v>
      </c>
      <c r="L37" s="9" t="s">
        <v>30</v>
      </c>
    </row>
    <row r="38" spans="1:12" ht="27.6" x14ac:dyDescent="0.3">
      <c r="A38" s="7">
        <v>29</v>
      </c>
      <c r="B38" s="8" t="s">
        <v>23</v>
      </c>
      <c r="C38" s="8">
        <v>75110</v>
      </c>
      <c r="D38" s="9" t="s">
        <v>24</v>
      </c>
      <c r="E38" s="9" t="s">
        <v>52</v>
      </c>
      <c r="F38" s="9" t="s">
        <v>26</v>
      </c>
      <c r="G38" s="10" t="s">
        <v>53</v>
      </c>
      <c r="H38" s="11">
        <v>45909</v>
      </c>
      <c r="I38" s="12">
        <v>1</v>
      </c>
      <c r="J38" s="9" t="s">
        <v>28</v>
      </c>
      <c r="K38" s="9" t="s">
        <v>29</v>
      </c>
      <c r="L38" s="9" t="s">
        <v>30</v>
      </c>
    </row>
    <row r="39" spans="1:12" ht="96" customHeight="1" x14ac:dyDescent="0.3">
      <c r="A39" s="7">
        <v>30</v>
      </c>
      <c r="B39" s="8" t="s">
        <v>23</v>
      </c>
      <c r="C39" s="8">
        <v>75110</v>
      </c>
      <c r="D39" s="9" t="s">
        <v>24</v>
      </c>
      <c r="E39" s="9" t="s">
        <v>54</v>
      </c>
      <c r="F39" s="9" t="s">
        <v>26</v>
      </c>
      <c r="G39" s="10" t="s">
        <v>50</v>
      </c>
      <c r="H39" s="11">
        <v>45909</v>
      </c>
      <c r="I39" s="12">
        <v>5</v>
      </c>
      <c r="J39" s="9" t="s">
        <v>28</v>
      </c>
      <c r="K39" s="9" t="s">
        <v>29</v>
      </c>
      <c r="L39" s="9" t="s">
        <v>30</v>
      </c>
    </row>
    <row r="40" spans="1:12" ht="25.5" customHeight="1" x14ac:dyDescent="0.3">
      <c r="A40" s="7">
        <v>31</v>
      </c>
      <c r="B40" s="8" t="s">
        <v>23</v>
      </c>
      <c r="C40" s="8">
        <v>75110</v>
      </c>
      <c r="D40" s="9" t="s">
        <v>24</v>
      </c>
      <c r="E40" s="9" t="s">
        <v>25</v>
      </c>
      <c r="F40" s="9" t="s">
        <v>26</v>
      </c>
      <c r="G40" s="10" t="s">
        <v>27</v>
      </c>
      <c r="H40" s="11">
        <v>45910</v>
      </c>
      <c r="I40" s="12">
        <v>0.5</v>
      </c>
      <c r="J40" s="9" t="s">
        <v>28</v>
      </c>
      <c r="K40" s="9" t="s">
        <v>29</v>
      </c>
      <c r="L40" s="9" t="s">
        <v>30</v>
      </c>
    </row>
    <row r="41" spans="1:12" ht="30" customHeight="1" x14ac:dyDescent="0.3">
      <c r="A41" s="7">
        <v>32</v>
      </c>
      <c r="B41" s="13" t="s">
        <v>31</v>
      </c>
      <c r="C41" s="13">
        <v>71373</v>
      </c>
      <c r="D41" s="9" t="s">
        <v>32</v>
      </c>
      <c r="E41" s="9" t="s">
        <v>33</v>
      </c>
      <c r="F41" s="9" t="s">
        <v>34</v>
      </c>
      <c r="G41" s="14" t="s">
        <v>35</v>
      </c>
      <c r="H41" s="11">
        <v>45910</v>
      </c>
      <c r="I41" s="15">
        <v>0.5</v>
      </c>
      <c r="J41" s="9" t="s">
        <v>28</v>
      </c>
      <c r="K41" s="9" t="s">
        <v>29</v>
      </c>
      <c r="L41" s="9" t="s">
        <v>30</v>
      </c>
    </row>
    <row r="42" spans="1:12" ht="103.5" customHeight="1" x14ac:dyDescent="0.3">
      <c r="A42" s="7">
        <v>33</v>
      </c>
      <c r="B42" s="13" t="s">
        <v>31</v>
      </c>
      <c r="C42" s="13">
        <v>71373</v>
      </c>
      <c r="D42" s="9" t="s">
        <v>32</v>
      </c>
      <c r="E42" s="9" t="s">
        <v>55</v>
      </c>
      <c r="F42" s="9" t="s">
        <v>34</v>
      </c>
      <c r="G42" s="14" t="s">
        <v>35</v>
      </c>
      <c r="H42" s="11">
        <v>45910</v>
      </c>
      <c r="I42" s="15">
        <v>4</v>
      </c>
      <c r="J42" s="9" t="s">
        <v>28</v>
      </c>
      <c r="K42" s="9" t="s">
        <v>29</v>
      </c>
      <c r="L42" s="9" t="s">
        <v>30</v>
      </c>
    </row>
    <row r="43" spans="1:12" ht="33.75" customHeight="1" x14ac:dyDescent="0.3">
      <c r="A43" s="7">
        <v>34</v>
      </c>
      <c r="B43" s="13" t="s">
        <v>31</v>
      </c>
      <c r="C43" s="13">
        <v>71373</v>
      </c>
      <c r="D43" s="9" t="s">
        <v>32</v>
      </c>
      <c r="E43" s="9" t="s">
        <v>56</v>
      </c>
      <c r="F43" s="9" t="s">
        <v>34</v>
      </c>
      <c r="G43" s="14" t="s">
        <v>35</v>
      </c>
      <c r="H43" s="11">
        <v>45910</v>
      </c>
      <c r="I43" s="15">
        <v>1.5</v>
      </c>
      <c r="J43" s="9" t="s">
        <v>28</v>
      </c>
      <c r="K43" s="9" t="s">
        <v>29</v>
      </c>
      <c r="L43" s="9" t="s">
        <v>30</v>
      </c>
    </row>
    <row r="44" spans="1:12" ht="41.4" x14ac:dyDescent="0.3">
      <c r="A44" s="7">
        <v>35</v>
      </c>
      <c r="B44" s="8" t="s">
        <v>23</v>
      </c>
      <c r="C44" s="8">
        <v>75110</v>
      </c>
      <c r="D44" s="9" t="s">
        <v>24</v>
      </c>
      <c r="E44" s="9" t="s">
        <v>57</v>
      </c>
      <c r="F44" s="9" t="s">
        <v>26</v>
      </c>
      <c r="G44" s="10" t="s">
        <v>27</v>
      </c>
      <c r="H44" s="11">
        <v>45910</v>
      </c>
      <c r="I44" s="12">
        <v>1.5</v>
      </c>
      <c r="J44" s="9" t="s">
        <v>28</v>
      </c>
      <c r="K44" s="9" t="s">
        <v>29</v>
      </c>
      <c r="L44" s="9" t="s">
        <v>30</v>
      </c>
    </row>
    <row r="45" spans="1:12" ht="14.4" x14ac:dyDescent="0.3">
      <c r="A45" s="7">
        <v>36</v>
      </c>
      <c r="B45" s="8" t="s">
        <v>23</v>
      </c>
      <c r="C45" s="8">
        <v>75110</v>
      </c>
      <c r="D45" s="9" t="s">
        <v>24</v>
      </c>
      <c r="E45" s="9" t="s">
        <v>25</v>
      </c>
      <c r="F45" s="9" t="s">
        <v>26</v>
      </c>
      <c r="G45" s="10" t="s">
        <v>27</v>
      </c>
      <c r="H45" s="11">
        <v>45911</v>
      </c>
      <c r="I45" s="12">
        <v>0.5</v>
      </c>
      <c r="J45" s="9" t="s">
        <v>28</v>
      </c>
      <c r="K45" s="9" t="s">
        <v>29</v>
      </c>
      <c r="L45" s="9" t="s">
        <v>30</v>
      </c>
    </row>
    <row r="46" spans="1:12" ht="27.6" x14ac:dyDescent="0.3">
      <c r="A46" s="7">
        <v>37</v>
      </c>
      <c r="B46" s="13" t="s">
        <v>31</v>
      </c>
      <c r="C46" s="13">
        <v>71373</v>
      </c>
      <c r="D46" s="9" t="s">
        <v>32</v>
      </c>
      <c r="E46" s="9" t="s">
        <v>33</v>
      </c>
      <c r="F46" s="9" t="s">
        <v>34</v>
      </c>
      <c r="G46" s="14" t="s">
        <v>35</v>
      </c>
      <c r="H46" s="11">
        <v>45911</v>
      </c>
      <c r="I46" s="15">
        <v>0.5</v>
      </c>
      <c r="J46" s="9" t="s">
        <v>28</v>
      </c>
      <c r="K46" s="9" t="s">
        <v>29</v>
      </c>
      <c r="L46" s="9" t="s">
        <v>30</v>
      </c>
    </row>
    <row r="47" spans="1:12" ht="105.75" customHeight="1" x14ac:dyDescent="0.3">
      <c r="A47" s="7">
        <v>38</v>
      </c>
      <c r="B47" s="8" t="s">
        <v>23</v>
      </c>
      <c r="C47" s="8">
        <v>75110</v>
      </c>
      <c r="D47" s="9" t="s">
        <v>24</v>
      </c>
      <c r="E47" s="9" t="s">
        <v>58</v>
      </c>
      <c r="F47" s="9" t="s">
        <v>26</v>
      </c>
      <c r="G47" s="10" t="s">
        <v>50</v>
      </c>
      <c r="H47" s="11">
        <v>45911</v>
      </c>
      <c r="I47" s="12">
        <v>7</v>
      </c>
      <c r="J47" s="9" t="s">
        <v>28</v>
      </c>
      <c r="K47" s="9" t="s">
        <v>29</v>
      </c>
      <c r="L47" s="9" t="s">
        <v>30</v>
      </c>
    </row>
    <row r="48" spans="1:12" ht="25.5" customHeight="1" x14ac:dyDescent="0.3">
      <c r="A48" s="7">
        <v>39</v>
      </c>
      <c r="B48" s="8" t="s">
        <v>23</v>
      </c>
      <c r="C48" s="8">
        <v>75110</v>
      </c>
      <c r="D48" s="9" t="s">
        <v>24</v>
      </c>
      <c r="E48" s="9" t="s">
        <v>25</v>
      </c>
      <c r="F48" s="9" t="s">
        <v>26</v>
      </c>
      <c r="G48" s="10" t="s">
        <v>27</v>
      </c>
      <c r="H48" s="11">
        <v>45912</v>
      </c>
      <c r="I48" s="12">
        <v>0.5</v>
      </c>
      <c r="J48" s="9" t="s">
        <v>28</v>
      </c>
      <c r="K48" s="9" t="s">
        <v>29</v>
      </c>
      <c r="L48" s="9" t="s">
        <v>30</v>
      </c>
    </row>
    <row r="49" spans="1:12" ht="27.6" x14ac:dyDescent="0.3">
      <c r="A49" s="7">
        <v>40</v>
      </c>
      <c r="B49" s="13" t="s">
        <v>31</v>
      </c>
      <c r="C49" s="13">
        <v>71373</v>
      </c>
      <c r="D49" s="9" t="s">
        <v>32</v>
      </c>
      <c r="E49" s="9" t="s">
        <v>33</v>
      </c>
      <c r="F49" s="9" t="s">
        <v>34</v>
      </c>
      <c r="G49" s="14" t="s">
        <v>35</v>
      </c>
      <c r="H49" s="11">
        <v>45912</v>
      </c>
      <c r="I49" s="15">
        <v>0.5</v>
      </c>
      <c r="J49" s="9" t="s">
        <v>28</v>
      </c>
      <c r="K49" s="9" t="s">
        <v>29</v>
      </c>
      <c r="L49" s="9" t="s">
        <v>30</v>
      </c>
    </row>
    <row r="50" spans="1:12" ht="27.6" x14ac:dyDescent="0.3">
      <c r="A50" s="7">
        <v>41</v>
      </c>
      <c r="B50" s="13" t="s">
        <v>31</v>
      </c>
      <c r="C50" s="13">
        <v>71373</v>
      </c>
      <c r="D50" s="9" t="s">
        <v>32</v>
      </c>
      <c r="E50" s="9" t="s">
        <v>59</v>
      </c>
      <c r="F50" s="9" t="s">
        <v>34</v>
      </c>
      <c r="G50" s="14" t="s">
        <v>35</v>
      </c>
      <c r="H50" s="11">
        <v>45912</v>
      </c>
      <c r="I50" s="15">
        <v>1.5</v>
      </c>
      <c r="J50" s="9" t="s">
        <v>28</v>
      </c>
      <c r="K50" s="9" t="s">
        <v>29</v>
      </c>
      <c r="L50" s="9" t="s">
        <v>30</v>
      </c>
    </row>
    <row r="51" spans="1:12" ht="95.25" customHeight="1" x14ac:dyDescent="0.3">
      <c r="A51" s="7">
        <v>42</v>
      </c>
      <c r="B51" s="8" t="s">
        <v>23</v>
      </c>
      <c r="C51" s="8">
        <v>75110</v>
      </c>
      <c r="D51" s="9" t="s">
        <v>24</v>
      </c>
      <c r="E51" s="9" t="s">
        <v>60</v>
      </c>
      <c r="F51" s="9" t="s">
        <v>26</v>
      </c>
      <c r="G51" s="10" t="s">
        <v>50</v>
      </c>
      <c r="H51" s="11">
        <v>45912</v>
      </c>
      <c r="I51" s="12">
        <v>5.5</v>
      </c>
      <c r="J51" s="9" t="s">
        <v>28</v>
      </c>
      <c r="K51" s="9" t="s">
        <v>29</v>
      </c>
      <c r="L51" s="9" t="s">
        <v>30</v>
      </c>
    </row>
    <row r="52" spans="1:12" ht="14.4" x14ac:dyDescent="0.3">
      <c r="A52" s="7">
        <v>43</v>
      </c>
      <c r="B52" s="8" t="s">
        <v>23</v>
      </c>
      <c r="C52" s="8">
        <v>75110</v>
      </c>
      <c r="D52" s="9" t="s">
        <v>24</v>
      </c>
      <c r="E52" s="9" t="s">
        <v>25</v>
      </c>
      <c r="F52" s="9" t="s">
        <v>26</v>
      </c>
      <c r="G52" s="10" t="s">
        <v>27</v>
      </c>
      <c r="H52" s="11">
        <v>45915</v>
      </c>
      <c r="I52" s="12">
        <v>0.5</v>
      </c>
      <c r="J52" s="9" t="s">
        <v>28</v>
      </c>
      <c r="K52" s="9" t="s">
        <v>29</v>
      </c>
      <c r="L52" s="9" t="s">
        <v>30</v>
      </c>
    </row>
    <row r="53" spans="1:12" ht="31.5" customHeight="1" x14ac:dyDescent="0.3">
      <c r="A53" s="7">
        <v>44</v>
      </c>
      <c r="B53" s="13" t="s">
        <v>31</v>
      </c>
      <c r="C53" s="13">
        <v>71373</v>
      </c>
      <c r="D53" s="9" t="s">
        <v>32</v>
      </c>
      <c r="E53" s="9" t="s">
        <v>33</v>
      </c>
      <c r="F53" s="9" t="s">
        <v>34</v>
      </c>
      <c r="G53" s="14" t="s">
        <v>35</v>
      </c>
      <c r="H53" s="11">
        <v>45915</v>
      </c>
      <c r="I53" s="15">
        <v>0.5</v>
      </c>
      <c r="J53" s="9" t="s">
        <v>28</v>
      </c>
      <c r="K53" s="9" t="s">
        <v>29</v>
      </c>
      <c r="L53" s="9" t="s">
        <v>30</v>
      </c>
    </row>
    <row r="54" spans="1:12" ht="14.4" x14ac:dyDescent="0.3">
      <c r="A54" s="7">
        <v>45</v>
      </c>
      <c r="B54" s="8" t="s">
        <v>23</v>
      </c>
      <c r="C54" s="8">
        <v>75110</v>
      </c>
      <c r="D54" s="9" t="s">
        <v>24</v>
      </c>
      <c r="E54" s="9" t="s">
        <v>61</v>
      </c>
      <c r="F54" s="9" t="s">
        <v>26</v>
      </c>
      <c r="G54" s="10" t="s">
        <v>27</v>
      </c>
      <c r="H54" s="11">
        <v>45915</v>
      </c>
      <c r="I54" s="12">
        <v>0.5</v>
      </c>
      <c r="J54" s="9" t="s">
        <v>28</v>
      </c>
      <c r="K54" s="9" t="s">
        <v>29</v>
      </c>
      <c r="L54" s="9" t="s">
        <v>30</v>
      </c>
    </row>
    <row r="55" spans="1:12" ht="14.4" x14ac:dyDescent="0.3">
      <c r="A55" s="7">
        <v>46</v>
      </c>
      <c r="B55" s="8" t="s">
        <v>23</v>
      </c>
      <c r="C55" s="8">
        <v>75110</v>
      </c>
      <c r="D55" s="9" t="s">
        <v>24</v>
      </c>
      <c r="E55" s="9" t="s">
        <v>62</v>
      </c>
      <c r="F55" s="9" t="s">
        <v>26</v>
      </c>
      <c r="G55" s="10" t="s">
        <v>27</v>
      </c>
      <c r="H55" s="11">
        <v>45915</v>
      </c>
      <c r="I55" s="12">
        <v>0.5</v>
      </c>
      <c r="J55" s="9" t="s">
        <v>28</v>
      </c>
      <c r="K55" s="9" t="s">
        <v>29</v>
      </c>
      <c r="L55" s="9" t="s">
        <v>30</v>
      </c>
    </row>
    <row r="56" spans="1:12" ht="50.25" customHeight="1" x14ac:dyDescent="0.3">
      <c r="A56" s="7">
        <v>47</v>
      </c>
      <c r="B56" s="8" t="s">
        <v>23</v>
      </c>
      <c r="C56" s="8">
        <v>75110</v>
      </c>
      <c r="D56" s="9" t="s">
        <v>24</v>
      </c>
      <c r="E56" s="9" t="s">
        <v>63</v>
      </c>
      <c r="F56" s="9" t="s">
        <v>26</v>
      </c>
      <c r="G56" s="10" t="s">
        <v>50</v>
      </c>
      <c r="H56" s="11">
        <v>45915</v>
      </c>
      <c r="I56" s="12">
        <v>6</v>
      </c>
      <c r="J56" s="9" t="s">
        <v>28</v>
      </c>
      <c r="K56" s="9" t="s">
        <v>29</v>
      </c>
      <c r="L56" s="9" t="s">
        <v>30</v>
      </c>
    </row>
    <row r="57" spans="1:12" ht="33.75" customHeight="1" x14ac:dyDescent="0.3">
      <c r="A57" s="7">
        <v>48</v>
      </c>
      <c r="B57" s="8" t="s">
        <v>23</v>
      </c>
      <c r="C57" s="8">
        <v>75110</v>
      </c>
      <c r="D57" s="9" t="s">
        <v>24</v>
      </c>
      <c r="E57" s="9" t="s">
        <v>25</v>
      </c>
      <c r="F57" s="9" t="s">
        <v>26</v>
      </c>
      <c r="G57" s="10" t="s">
        <v>27</v>
      </c>
      <c r="H57" s="11">
        <v>45916</v>
      </c>
      <c r="I57" s="15">
        <v>0.5</v>
      </c>
      <c r="J57" s="9" t="s">
        <v>28</v>
      </c>
      <c r="K57" s="9" t="s">
        <v>29</v>
      </c>
      <c r="L57" s="9" t="s">
        <v>30</v>
      </c>
    </row>
    <row r="58" spans="1:12" ht="14.4" x14ac:dyDescent="0.3">
      <c r="A58" s="7">
        <v>49</v>
      </c>
      <c r="B58" s="8" t="s">
        <v>23</v>
      </c>
      <c r="C58" s="8">
        <v>75110</v>
      </c>
      <c r="D58" s="9" t="s">
        <v>24</v>
      </c>
      <c r="E58" s="9" t="s">
        <v>61</v>
      </c>
      <c r="F58" s="9" t="s">
        <v>26</v>
      </c>
      <c r="G58" s="10" t="s">
        <v>27</v>
      </c>
      <c r="H58" s="11">
        <v>45916</v>
      </c>
      <c r="I58" s="12">
        <v>1</v>
      </c>
      <c r="J58" s="9" t="s">
        <v>28</v>
      </c>
      <c r="K58" s="9" t="s">
        <v>29</v>
      </c>
      <c r="L58" s="9" t="s">
        <v>30</v>
      </c>
    </row>
    <row r="59" spans="1:12" ht="14.4" x14ac:dyDescent="0.3">
      <c r="A59" s="7">
        <v>50</v>
      </c>
      <c r="B59" s="8" t="s">
        <v>23</v>
      </c>
      <c r="C59" s="8">
        <v>75110</v>
      </c>
      <c r="D59" s="9" t="s">
        <v>24</v>
      </c>
      <c r="E59" s="9" t="s">
        <v>62</v>
      </c>
      <c r="F59" s="9" t="s">
        <v>26</v>
      </c>
      <c r="G59" s="10" t="s">
        <v>27</v>
      </c>
      <c r="H59" s="11">
        <v>45916</v>
      </c>
      <c r="I59" s="12">
        <v>0.5</v>
      </c>
      <c r="J59" s="9" t="s">
        <v>28</v>
      </c>
      <c r="K59" s="9" t="s">
        <v>29</v>
      </c>
      <c r="L59" s="9" t="s">
        <v>30</v>
      </c>
    </row>
    <row r="60" spans="1:12" ht="88.5" customHeight="1" x14ac:dyDescent="0.3">
      <c r="A60" s="7">
        <v>51</v>
      </c>
      <c r="B60" s="8" t="s">
        <v>23</v>
      </c>
      <c r="C60" s="8">
        <v>75110</v>
      </c>
      <c r="D60" s="9" t="s">
        <v>24</v>
      </c>
      <c r="E60" s="9" t="s">
        <v>64</v>
      </c>
      <c r="F60" s="9" t="s">
        <v>26</v>
      </c>
      <c r="G60" s="10" t="s">
        <v>50</v>
      </c>
      <c r="H60" s="11">
        <v>45916</v>
      </c>
      <c r="I60" s="12">
        <v>6</v>
      </c>
      <c r="J60" s="9" t="s">
        <v>28</v>
      </c>
      <c r="K60" s="9" t="s">
        <v>29</v>
      </c>
      <c r="L60" s="9" t="s">
        <v>30</v>
      </c>
    </row>
    <row r="61" spans="1:12" ht="51" customHeight="1" x14ac:dyDescent="0.3">
      <c r="A61" s="7">
        <v>52</v>
      </c>
      <c r="B61" s="8" t="s">
        <v>23</v>
      </c>
      <c r="C61" s="8">
        <v>75110</v>
      </c>
      <c r="D61" s="9" t="s">
        <v>24</v>
      </c>
      <c r="E61" s="9" t="s">
        <v>25</v>
      </c>
      <c r="F61" s="9" t="s">
        <v>26</v>
      </c>
      <c r="G61" s="10" t="s">
        <v>27</v>
      </c>
      <c r="H61" s="11">
        <v>45917</v>
      </c>
      <c r="I61" s="15">
        <v>0.5</v>
      </c>
      <c r="J61" s="9" t="s">
        <v>28</v>
      </c>
      <c r="K61" s="9" t="s">
        <v>29</v>
      </c>
      <c r="L61" s="9" t="s">
        <v>30</v>
      </c>
    </row>
    <row r="62" spans="1:12" ht="23.25" customHeight="1" x14ac:dyDescent="0.3">
      <c r="A62" s="7">
        <v>53</v>
      </c>
      <c r="B62" s="8" t="s">
        <v>23</v>
      </c>
      <c r="C62" s="8">
        <v>75110</v>
      </c>
      <c r="D62" s="9" t="s">
        <v>24</v>
      </c>
      <c r="E62" s="9" t="s">
        <v>61</v>
      </c>
      <c r="F62" s="9" t="s">
        <v>26</v>
      </c>
      <c r="G62" s="10" t="s">
        <v>27</v>
      </c>
      <c r="H62" s="11">
        <v>45917</v>
      </c>
      <c r="I62" s="12">
        <v>0.5</v>
      </c>
      <c r="J62" s="9" t="s">
        <v>28</v>
      </c>
      <c r="K62" s="9" t="s">
        <v>29</v>
      </c>
      <c r="L62" s="9" t="s">
        <v>30</v>
      </c>
    </row>
    <row r="63" spans="1:12" ht="21.75" customHeight="1" x14ac:dyDescent="0.3">
      <c r="A63" s="7">
        <v>54</v>
      </c>
      <c r="B63" s="8" t="s">
        <v>23</v>
      </c>
      <c r="C63" s="8">
        <v>75110</v>
      </c>
      <c r="D63" s="9" t="s">
        <v>24</v>
      </c>
      <c r="E63" s="9" t="s">
        <v>62</v>
      </c>
      <c r="F63" s="9" t="s">
        <v>26</v>
      </c>
      <c r="G63" s="10" t="s">
        <v>27</v>
      </c>
      <c r="H63" s="11">
        <v>45917</v>
      </c>
      <c r="I63" s="12">
        <v>0.5</v>
      </c>
      <c r="J63" s="9" t="s">
        <v>28</v>
      </c>
      <c r="K63" s="9" t="s">
        <v>29</v>
      </c>
      <c r="L63" s="9" t="s">
        <v>30</v>
      </c>
    </row>
    <row r="64" spans="1:12" ht="33.75" customHeight="1" x14ac:dyDescent="0.3">
      <c r="A64" s="7">
        <v>55</v>
      </c>
      <c r="B64" s="13" t="s">
        <v>31</v>
      </c>
      <c r="C64" s="13">
        <v>71373</v>
      </c>
      <c r="D64" s="9" t="s">
        <v>32</v>
      </c>
      <c r="E64" s="9" t="s">
        <v>65</v>
      </c>
      <c r="F64" s="9" t="s">
        <v>34</v>
      </c>
      <c r="G64" s="14" t="s">
        <v>35</v>
      </c>
      <c r="H64" s="11">
        <v>45917</v>
      </c>
      <c r="I64" s="15">
        <v>1.5</v>
      </c>
      <c r="J64" s="9" t="s">
        <v>28</v>
      </c>
      <c r="K64" s="9" t="s">
        <v>29</v>
      </c>
      <c r="L64" s="9" t="s">
        <v>30</v>
      </c>
    </row>
    <row r="65" spans="1:12" ht="35.25" customHeight="1" x14ac:dyDescent="0.3">
      <c r="A65" s="7">
        <v>56</v>
      </c>
      <c r="B65" s="8" t="s">
        <v>23</v>
      </c>
      <c r="C65" s="8">
        <v>75110</v>
      </c>
      <c r="D65" s="9" t="s">
        <v>24</v>
      </c>
      <c r="E65" s="9" t="s">
        <v>66</v>
      </c>
      <c r="F65" s="9" t="s">
        <v>26</v>
      </c>
      <c r="G65" s="10" t="s">
        <v>50</v>
      </c>
      <c r="H65" s="11">
        <v>45917</v>
      </c>
      <c r="I65" s="12">
        <v>3</v>
      </c>
      <c r="J65" s="9" t="s">
        <v>28</v>
      </c>
      <c r="K65" s="9" t="s">
        <v>29</v>
      </c>
      <c r="L65" s="9" t="s">
        <v>30</v>
      </c>
    </row>
    <row r="66" spans="1:12" ht="94.5" customHeight="1" x14ac:dyDescent="0.3">
      <c r="A66" s="7">
        <v>57</v>
      </c>
      <c r="B66" s="13" t="s">
        <v>31</v>
      </c>
      <c r="C66" s="13">
        <v>71373</v>
      </c>
      <c r="D66" s="9" t="s">
        <v>32</v>
      </c>
      <c r="E66" s="9" t="s">
        <v>67</v>
      </c>
      <c r="F66" s="9" t="s">
        <v>34</v>
      </c>
      <c r="G66" s="14" t="s">
        <v>35</v>
      </c>
      <c r="H66" s="11">
        <v>45917</v>
      </c>
      <c r="I66" s="15">
        <v>2</v>
      </c>
      <c r="J66" s="9" t="s">
        <v>28</v>
      </c>
      <c r="K66" s="9" t="s">
        <v>29</v>
      </c>
      <c r="L66" s="9" t="s">
        <v>30</v>
      </c>
    </row>
    <row r="67" spans="1:12" ht="45" customHeight="1" x14ac:dyDescent="0.3">
      <c r="A67" s="7">
        <v>58</v>
      </c>
      <c r="B67" s="8" t="s">
        <v>23</v>
      </c>
      <c r="C67" s="8">
        <v>75110</v>
      </c>
      <c r="D67" s="9" t="s">
        <v>24</v>
      </c>
      <c r="E67" s="9" t="s">
        <v>25</v>
      </c>
      <c r="F67" s="9" t="s">
        <v>26</v>
      </c>
      <c r="G67" s="10" t="s">
        <v>27</v>
      </c>
      <c r="H67" s="11">
        <v>45918</v>
      </c>
      <c r="I67" s="15">
        <v>0.5</v>
      </c>
      <c r="J67" s="9" t="s">
        <v>28</v>
      </c>
      <c r="K67" s="9" t="s">
        <v>29</v>
      </c>
      <c r="L67" s="9" t="s">
        <v>30</v>
      </c>
    </row>
    <row r="68" spans="1:12" ht="14.4" x14ac:dyDescent="0.3">
      <c r="A68" s="7">
        <v>59</v>
      </c>
      <c r="B68" s="8" t="s">
        <v>23</v>
      </c>
      <c r="C68" s="8">
        <v>75110</v>
      </c>
      <c r="D68" s="9" t="s">
        <v>24</v>
      </c>
      <c r="E68" s="9" t="s">
        <v>61</v>
      </c>
      <c r="F68" s="9" t="s">
        <v>26</v>
      </c>
      <c r="G68" s="10" t="s">
        <v>27</v>
      </c>
      <c r="H68" s="11">
        <v>45918</v>
      </c>
      <c r="I68" s="12">
        <v>0.5</v>
      </c>
      <c r="J68" s="9" t="s">
        <v>28</v>
      </c>
      <c r="K68" s="9" t="s">
        <v>29</v>
      </c>
      <c r="L68" s="9" t="s">
        <v>30</v>
      </c>
    </row>
    <row r="69" spans="1:12" ht="14.4" x14ac:dyDescent="0.3">
      <c r="A69" s="7">
        <v>60</v>
      </c>
      <c r="B69" s="8" t="s">
        <v>23</v>
      </c>
      <c r="C69" s="8">
        <v>75110</v>
      </c>
      <c r="D69" s="9" t="s">
        <v>24</v>
      </c>
      <c r="E69" s="9" t="s">
        <v>62</v>
      </c>
      <c r="F69" s="9" t="s">
        <v>26</v>
      </c>
      <c r="G69" s="10" t="s">
        <v>27</v>
      </c>
      <c r="H69" s="11">
        <v>45918</v>
      </c>
      <c r="I69" s="12">
        <v>0.5</v>
      </c>
      <c r="J69" s="9" t="s">
        <v>28</v>
      </c>
      <c r="K69" s="9" t="s">
        <v>29</v>
      </c>
      <c r="L69" s="9" t="s">
        <v>30</v>
      </c>
    </row>
    <row r="70" spans="1:12" ht="32.25" customHeight="1" x14ac:dyDescent="0.3">
      <c r="A70" s="7">
        <v>61</v>
      </c>
      <c r="B70" s="13" t="s">
        <v>31</v>
      </c>
      <c r="C70" s="13">
        <v>71373</v>
      </c>
      <c r="D70" s="9" t="s">
        <v>32</v>
      </c>
      <c r="E70" s="9" t="s">
        <v>68</v>
      </c>
      <c r="F70" s="9" t="s">
        <v>34</v>
      </c>
      <c r="G70" s="14" t="s">
        <v>35</v>
      </c>
      <c r="H70" s="11">
        <v>45918</v>
      </c>
      <c r="I70" s="15">
        <v>1.5</v>
      </c>
      <c r="J70" s="9" t="s">
        <v>28</v>
      </c>
      <c r="K70" s="9" t="s">
        <v>29</v>
      </c>
      <c r="L70" s="9" t="s">
        <v>30</v>
      </c>
    </row>
    <row r="71" spans="1:12" ht="87" customHeight="1" x14ac:dyDescent="0.3">
      <c r="A71" s="7">
        <v>62</v>
      </c>
      <c r="B71" s="13" t="s">
        <v>31</v>
      </c>
      <c r="C71" s="13">
        <v>71373</v>
      </c>
      <c r="D71" s="9" t="s">
        <v>32</v>
      </c>
      <c r="E71" s="9" t="s">
        <v>69</v>
      </c>
      <c r="F71" s="9" t="s">
        <v>34</v>
      </c>
      <c r="G71" s="14" t="s">
        <v>35</v>
      </c>
      <c r="H71" s="11">
        <v>45918</v>
      </c>
      <c r="I71" s="15">
        <v>2</v>
      </c>
      <c r="J71" s="9" t="s">
        <v>28</v>
      </c>
      <c r="K71" s="9" t="s">
        <v>29</v>
      </c>
      <c r="L71" s="9" t="s">
        <v>30</v>
      </c>
    </row>
    <row r="72" spans="1:12" ht="40.5" customHeight="1" x14ac:dyDescent="0.3">
      <c r="A72" s="7">
        <v>63</v>
      </c>
      <c r="B72" s="8" t="s">
        <v>23</v>
      </c>
      <c r="C72" s="8">
        <v>75110</v>
      </c>
      <c r="D72" s="9" t="s">
        <v>24</v>
      </c>
      <c r="E72" s="9" t="s">
        <v>66</v>
      </c>
      <c r="F72" s="9" t="s">
        <v>26</v>
      </c>
      <c r="G72" s="10" t="s">
        <v>50</v>
      </c>
      <c r="H72" s="11">
        <v>45918</v>
      </c>
      <c r="I72" s="12">
        <v>3</v>
      </c>
      <c r="J72" s="9" t="s">
        <v>28</v>
      </c>
      <c r="K72" s="9" t="s">
        <v>29</v>
      </c>
      <c r="L72" s="9" t="s">
        <v>30</v>
      </c>
    </row>
    <row r="73" spans="1:12" ht="14.4" x14ac:dyDescent="0.3">
      <c r="A73" s="7">
        <v>64</v>
      </c>
      <c r="B73" s="8" t="s">
        <v>23</v>
      </c>
      <c r="C73" s="8">
        <v>75110</v>
      </c>
      <c r="D73" s="9" t="s">
        <v>24</v>
      </c>
      <c r="E73" s="9" t="s">
        <v>25</v>
      </c>
      <c r="F73" s="9" t="s">
        <v>26</v>
      </c>
      <c r="G73" s="10" t="s">
        <v>27</v>
      </c>
      <c r="H73" s="11">
        <v>45919</v>
      </c>
      <c r="I73" s="15">
        <v>0.5</v>
      </c>
      <c r="J73" s="9" t="s">
        <v>28</v>
      </c>
      <c r="K73" s="9" t="s">
        <v>29</v>
      </c>
      <c r="L73" s="9" t="s">
        <v>30</v>
      </c>
    </row>
    <row r="74" spans="1:12" ht="14.4" x14ac:dyDescent="0.3">
      <c r="A74" s="7">
        <v>65</v>
      </c>
      <c r="B74" s="8" t="s">
        <v>23</v>
      </c>
      <c r="C74" s="8">
        <v>75110</v>
      </c>
      <c r="D74" s="9" t="s">
        <v>24</v>
      </c>
      <c r="E74" s="9" t="s">
        <v>61</v>
      </c>
      <c r="F74" s="9" t="s">
        <v>26</v>
      </c>
      <c r="G74" s="10" t="s">
        <v>27</v>
      </c>
      <c r="H74" s="11">
        <v>45919</v>
      </c>
      <c r="I74" s="12">
        <v>0.5</v>
      </c>
      <c r="J74" s="9" t="s">
        <v>28</v>
      </c>
      <c r="K74" s="9" t="s">
        <v>29</v>
      </c>
      <c r="L74" s="9" t="s">
        <v>30</v>
      </c>
    </row>
    <row r="75" spans="1:12" ht="14.4" x14ac:dyDescent="0.3">
      <c r="A75" s="7">
        <v>66</v>
      </c>
      <c r="B75" s="8" t="s">
        <v>23</v>
      </c>
      <c r="C75" s="8">
        <v>75110</v>
      </c>
      <c r="D75" s="9" t="s">
        <v>24</v>
      </c>
      <c r="E75" s="9" t="s">
        <v>62</v>
      </c>
      <c r="F75" s="9" t="s">
        <v>26</v>
      </c>
      <c r="G75" s="10" t="s">
        <v>27</v>
      </c>
      <c r="H75" s="11">
        <v>45919</v>
      </c>
      <c r="I75" s="12">
        <v>0.5</v>
      </c>
      <c r="J75" s="9" t="s">
        <v>28</v>
      </c>
      <c r="K75" s="9" t="s">
        <v>29</v>
      </c>
      <c r="L75" s="9" t="s">
        <v>30</v>
      </c>
    </row>
    <row r="76" spans="1:12" ht="27.75" customHeight="1" x14ac:dyDescent="0.3">
      <c r="A76" s="7">
        <v>67</v>
      </c>
      <c r="B76" s="13" t="s">
        <v>31</v>
      </c>
      <c r="C76" s="13">
        <v>71373</v>
      </c>
      <c r="D76" s="9" t="s">
        <v>32</v>
      </c>
      <c r="E76" s="9" t="s">
        <v>33</v>
      </c>
      <c r="F76" s="9" t="s">
        <v>34</v>
      </c>
      <c r="G76" s="14" t="s">
        <v>35</v>
      </c>
      <c r="H76" s="11">
        <v>45919</v>
      </c>
      <c r="I76" s="15">
        <v>0.5</v>
      </c>
      <c r="J76" s="9" t="s">
        <v>28</v>
      </c>
      <c r="K76" s="9" t="s">
        <v>29</v>
      </c>
      <c r="L76" s="9" t="s">
        <v>30</v>
      </c>
    </row>
    <row r="77" spans="1:12" ht="78" customHeight="1" x14ac:dyDescent="0.3">
      <c r="A77" s="7">
        <v>68</v>
      </c>
      <c r="B77" s="8" t="s">
        <v>23</v>
      </c>
      <c r="C77" s="8">
        <v>75110</v>
      </c>
      <c r="D77" s="9" t="s">
        <v>24</v>
      </c>
      <c r="E77" s="9" t="s">
        <v>70</v>
      </c>
      <c r="F77" s="9" t="s">
        <v>26</v>
      </c>
      <c r="G77" s="10" t="s">
        <v>27</v>
      </c>
      <c r="H77" s="11">
        <v>45919</v>
      </c>
      <c r="I77" s="12">
        <v>3</v>
      </c>
      <c r="J77" s="9" t="s">
        <v>28</v>
      </c>
      <c r="K77" s="9" t="s">
        <v>29</v>
      </c>
      <c r="L77" s="9" t="s">
        <v>30</v>
      </c>
    </row>
    <row r="78" spans="1:12" ht="57.75" customHeight="1" x14ac:dyDescent="0.3">
      <c r="A78" s="7">
        <v>69</v>
      </c>
      <c r="B78" s="8" t="s">
        <v>23</v>
      </c>
      <c r="C78" s="8">
        <v>75110</v>
      </c>
      <c r="D78" s="9" t="s">
        <v>24</v>
      </c>
      <c r="E78" s="9" t="s">
        <v>71</v>
      </c>
      <c r="F78" s="9" t="s">
        <v>26</v>
      </c>
      <c r="G78" s="10" t="s">
        <v>27</v>
      </c>
      <c r="H78" s="11">
        <v>45919</v>
      </c>
      <c r="I78" s="12">
        <v>3</v>
      </c>
      <c r="J78" s="9" t="s">
        <v>28</v>
      </c>
      <c r="K78" s="9" t="s">
        <v>29</v>
      </c>
      <c r="L78" s="9" t="s">
        <v>30</v>
      </c>
    </row>
    <row r="79" spans="1:12" ht="14.4" x14ac:dyDescent="0.3">
      <c r="A79" s="7">
        <v>70</v>
      </c>
      <c r="B79" s="8" t="s">
        <v>23</v>
      </c>
      <c r="C79" s="8">
        <v>75110</v>
      </c>
      <c r="D79" s="9" t="s">
        <v>24</v>
      </c>
      <c r="E79" s="9" t="s">
        <v>25</v>
      </c>
      <c r="F79" s="9" t="s">
        <v>26</v>
      </c>
      <c r="G79" s="10" t="s">
        <v>27</v>
      </c>
      <c r="H79" s="11">
        <v>45922</v>
      </c>
      <c r="I79" s="15">
        <v>0.5</v>
      </c>
      <c r="J79" s="9" t="s">
        <v>28</v>
      </c>
      <c r="K79" s="9" t="s">
        <v>29</v>
      </c>
      <c r="L79" s="9" t="s">
        <v>30</v>
      </c>
    </row>
    <row r="80" spans="1:12" ht="14.4" x14ac:dyDescent="0.3">
      <c r="A80" s="7">
        <v>71</v>
      </c>
      <c r="B80" s="8" t="s">
        <v>23</v>
      </c>
      <c r="C80" s="8">
        <v>75110</v>
      </c>
      <c r="D80" s="9" t="s">
        <v>24</v>
      </c>
      <c r="E80" s="9" t="s">
        <v>61</v>
      </c>
      <c r="F80" s="9" t="s">
        <v>26</v>
      </c>
      <c r="G80" s="10" t="s">
        <v>27</v>
      </c>
      <c r="H80" s="11">
        <v>45922</v>
      </c>
      <c r="I80" s="12">
        <v>0.5</v>
      </c>
      <c r="J80" s="9" t="s">
        <v>28</v>
      </c>
      <c r="K80" s="9" t="s">
        <v>29</v>
      </c>
      <c r="L80" s="9" t="s">
        <v>30</v>
      </c>
    </row>
    <row r="81" spans="1:12" ht="14.4" x14ac:dyDescent="0.3">
      <c r="A81" s="7">
        <v>72</v>
      </c>
      <c r="B81" s="8" t="s">
        <v>23</v>
      </c>
      <c r="C81" s="8">
        <v>75110</v>
      </c>
      <c r="D81" s="9" t="s">
        <v>24</v>
      </c>
      <c r="E81" s="9" t="s">
        <v>62</v>
      </c>
      <c r="F81" s="9" t="s">
        <v>26</v>
      </c>
      <c r="G81" s="10" t="s">
        <v>27</v>
      </c>
      <c r="H81" s="11">
        <v>45922</v>
      </c>
      <c r="I81" s="12">
        <v>0.5</v>
      </c>
      <c r="J81" s="9" t="s">
        <v>28</v>
      </c>
      <c r="K81" s="9" t="s">
        <v>29</v>
      </c>
      <c r="L81" s="9" t="s">
        <v>30</v>
      </c>
    </row>
    <row r="82" spans="1:12" ht="27.6" x14ac:dyDescent="0.3">
      <c r="A82" s="7">
        <v>73</v>
      </c>
      <c r="B82" s="13" t="s">
        <v>31</v>
      </c>
      <c r="C82" s="13">
        <v>71373</v>
      </c>
      <c r="D82" s="9" t="s">
        <v>32</v>
      </c>
      <c r="E82" s="9" t="s">
        <v>33</v>
      </c>
      <c r="F82" s="9" t="s">
        <v>34</v>
      </c>
      <c r="G82" s="14" t="s">
        <v>35</v>
      </c>
      <c r="H82" s="11">
        <v>45922</v>
      </c>
      <c r="I82" s="15">
        <v>0.5</v>
      </c>
      <c r="J82" s="9" t="s">
        <v>28</v>
      </c>
      <c r="K82" s="9" t="s">
        <v>29</v>
      </c>
      <c r="L82" s="9" t="s">
        <v>30</v>
      </c>
    </row>
    <row r="83" spans="1:12" ht="43.5" customHeight="1" x14ac:dyDescent="0.3">
      <c r="A83" s="7">
        <v>74</v>
      </c>
      <c r="B83" s="13" t="s">
        <v>31</v>
      </c>
      <c r="C83" s="13">
        <v>71373</v>
      </c>
      <c r="D83" s="9" t="s">
        <v>32</v>
      </c>
      <c r="E83" s="9" t="s">
        <v>72</v>
      </c>
      <c r="F83" s="9" t="s">
        <v>34</v>
      </c>
      <c r="G83" s="14" t="s">
        <v>35</v>
      </c>
      <c r="H83" s="11">
        <v>45922</v>
      </c>
      <c r="I83" s="15">
        <v>0.5</v>
      </c>
      <c r="J83" s="9" t="s">
        <v>28</v>
      </c>
      <c r="K83" s="9" t="s">
        <v>29</v>
      </c>
      <c r="L83" s="9" t="s">
        <v>30</v>
      </c>
    </row>
    <row r="84" spans="1:12" ht="99" customHeight="1" x14ac:dyDescent="0.3">
      <c r="A84" s="7">
        <v>75</v>
      </c>
      <c r="B84" s="8" t="s">
        <v>23</v>
      </c>
      <c r="C84" s="8">
        <v>75110</v>
      </c>
      <c r="D84" s="9" t="s">
        <v>24</v>
      </c>
      <c r="E84" s="9" t="s">
        <v>73</v>
      </c>
      <c r="F84" s="9" t="s">
        <v>26</v>
      </c>
      <c r="G84" s="10" t="s">
        <v>27</v>
      </c>
      <c r="H84" s="11">
        <v>45922</v>
      </c>
      <c r="I84" s="12">
        <v>5.5</v>
      </c>
      <c r="J84" s="9" t="s">
        <v>28</v>
      </c>
      <c r="K84" s="9" t="s">
        <v>29</v>
      </c>
      <c r="L84" s="9" t="s">
        <v>30</v>
      </c>
    </row>
    <row r="85" spans="1:12" ht="36.75" customHeight="1" x14ac:dyDescent="0.3">
      <c r="A85" s="7">
        <v>76</v>
      </c>
      <c r="B85" s="13" t="s">
        <v>23</v>
      </c>
      <c r="C85" s="8">
        <v>75110</v>
      </c>
      <c r="D85" s="9" t="s">
        <v>24</v>
      </c>
      <c r="E85" s="9" t="s">
        <v>25</v>
      </c>
      <c r="F85" s="9" t="s">
        <v>26</v>
      </c>
      <c r="G85" s="10" t="s">
        <v>27</v>
      </c>
      <c r="H85" s="11">
        <v>45923</v>
      </c>
      <c r="I85" s="15">
        <v>0.5</v>
      </c>
      <c r="J85" s="9" t="s">
        <v>28</v>
      </c>
      <c r="K85" s="9" t="s">
        <v>29</v>
      </c>
      <c r="L85" s="9" t="s">
        <v>30</v>
      </c>
    </row>
    <row r="86" spans="1:12" ht="36.75" customHeight="1" x14ac:dyDescent="0.3">
      <c r="A86" s="7">
        <v>77</v>
      </c>
      <c r="B86" s="13" t="s">
        <v>31</v>
      </c>
      <c r="C86" s="13">
        <v>71373</v>
      </c>
      <c r="D86" s="9" t="s">
        <v>32</v>
      </c>
      <c r="E86" s="9" t="s">
        <v>33</v>
      </c>
      <c r="F86" s="9" t="s">
        <v>34</v>
      </c>
      <c r="G86" s="14" t="s">
        <v>35</v>
      </c>
      <c r="H86" s="11">
        <v>45923</v>
      </c>
      <c r="I86" s="15">
        <v>0.5</v>
      </c>
      <c r="J86" s="9" t="s">
        <v>28</v>
      </c>
      <c r="K86" s="9" t="s">
        <v>29</v>
      </c>
      <c r="L86" s="9" t="s">
        <v>30</v>
      </c>
    </row>
    <row r="87" spans="1:12" ht="27.6" x14ac:dyDescent="0.3">
      <c r="A87" s="7">
        <v>78</v>
      </c>
      <c r="B87" s="13" t="s">
        <v>31</v>
      </c>
      <c r="C87" s="13">
        <v>71373</v>
      </c>
      <c r="D87" s="9" t="s">
        <v>32</v>
      </c>
      <c r="E87" s="9" t="s">
        <v>74</v>
      </c>
      <c r="F87" s="9" t="s">
        <v>34</v>
      </c>
      <c r="G87" s="14" t="s">
        <v>35</v>
      </c>
      <c r="H87" s="11">
        <v>45923</v>
      </c>
      <c r="I87" s="15">
        <v>2</v>
      </c>
      <c r="J87" s="9" t="s">
        <v>28</v>
      </c>
      <c r="K87" s="9" t="s">
        <v>29</v>
      </c>
      <c r="L87" s="9" t="s">
        <v>30</v>
      </c>
    </row>
    <row r="88" spans="1:12" ht="27.6" x14ac:dyDescent="0.3">
      <c r="A88" s="7">
        <v>79</v>
      </c>
      <c r="B88" s="8" t="s">
        <v>23</v>
      </c>
      <c r="C88" s="8"/>
      <c r="D88" s="9" t="s">
        <v>75</v>
      </c>
      <c r="E88" s="9" t="s">
        <v>75</v>
      </c>
      <c r="F88" s="9" t="s">
        <v>26</v>
      </c>
      <c r="G88" s="16"/>
      <c r="H88" s="11">
        <v>45923</v>
      </c>
      <c r="I88" s="12">
        <v>1.5</v>
      </c>
      <c r="J88" s="9" t="s">
        <v>28</v>
      </c>
      <c r="K88" s="9" t="s">
        <v>29</v>
      </c>
      <c r="L88" s="9" t="s">
        <v>30</v>
      </c>
    </row>
    <row r="89" spans="1:12" ht="131.25" customHeight="1" x14ac:dyDescent="0.3">
      <c r="A89" s="7">
        <v>80</v>
      </c>
      <c r="B89" s="8" t="s">
        <v>23</v>
      </c>
      <c r="C89" s="8">
        <v>75110</v>
      </c>
      <c r="D89" s="9" t="s">
        <v>24</v>
      </c>
      <c r="E89" s="9" t="s">
        <v>76</v>
      </c>
      <c r="F89" s="17" t="s">
        <v>26</v>
      </c>
      <c r="G89" s="18" t="s">
        <v>27</v>
      </c>
      <c r="H89" s="11">
        <v>45923</v>
      </c>
      <c r="I89" s="12">
        <v>3.5</v>
      </c>
      <c r="J89" s="9" t="s">
        <v>28</v>
      </c>
      <c r="K89" s="9" t="s">
        <v>29</v>
      </c>
      <c r="L89" s="9" t="s">
        <v>30</v>
      </c>
    </row>
    <row r="90" spans="1:12" ht="33.75" customHeight="1" thickBot="1" x14ac:dyDescent="0.35">
      <c r="A90" s="7">
        <v>81</v>
      </c>
      <c r="B90" s="13" t="s">
        <v>23</v>
      </c>
      <c r="C90" s="8">
        <v>75110</v>
      </c>
      <c r="D90" s="9" t="s">
        <v>24</v>
      </c>
      <c r="E90" s="9" t="s">
        <v>25</v>
      </c>
      <c r="F90" s="19" t="s">
        <v>26</v>
      </c>
      <c r="G90" s="20" t="s">
        <v>27</v>
      </c>
      <c r="H90" s="11">
        <v>45924</v>
      </c>
      <c r="I90" s="15">
        <v>0.5</v>
      </c>
      <c r="J90" s="9" t="s">
        <v>28</v>
      </c>
      <c r="K90" s="9" t="s">
        <v>29</v>
      </c>
      <c r="L90" s="9" t="s">
        <v>30</v>
      </c>
    </row>
    <row r="91" spans="1:12" ht="45" customHeight="1" thickTop="1" x14ac:dyDescent="0.3">
      <c r="A91" s="7">
        <v>82</v>
      </c>
      <c r="B91" s="13" t="s">
        <v>31</v>
      </c>
      <c r="C91" s="13">
        <v>71373</v>
      </c>
      <c r="D91" s="9" t="s">
        <v>32</v>
      </c>
      <c r="E91" s="9" t="s">
        <v>74</v>
      </c>
      <c r="F91" s="9" t="s">
        <v>34</v>
      </c>
      <c r="G91" s="14" t="s">
        <v>35</v>
      </c>
      <c r="H91" s="11">
        <v>45924</v>
      </c>
      <c r="I91" s="15">
        <v>2</v>
      </c>
      <c r="J91" s="9" t="s">
        <v>28</v>
      </c>
      <c r="K91" s="9" t="s">
        <v>29</v>
      </c>
      <c r="L91" s="9" t="s">
        <v>30</v>
      </c>
    </row>
    <row r="92" spans="1:12" ht="14.4" x14ac:dyDescent="0.3">
      <c r="A92" s="7">
        <v>83</v>
      </c>
      <c r="B92" s="8" t="s">
        <v>23</v>
      </c>
      <c r="C92" s="8">
        <v>75110</v>
      </c>
      <c r="D92" s="9" t="s">
        <v>24</v>
      </c>
      <c r="E92" s="9" t="s">
        <v>61</v>
      </c>
      <c r="F92" s="9" t="s">
        <v>26</v>
      </c>
      <c r="G92" s="10" t="s">
        <v>27</v>
      </c>
      <c r="H92" s="11">
        <v>45924</v>
      </c>
      <c r="I92" s="12">
        <v>0.5</v>
      </c>
      <c r="J92" s="9" t="s">
        <v>28</v>
      </c>
      <c r="K92" s="9" t="s">
        <v>29</v>
      </c>
      <c r="L92" s="9" t="s">
        <v>30</v>
      </c>
    </row>
    <row r="93" spans="1:12" ht="102" customHeight="1" x14ac:dyDescent="0.3">
      <c r="A93" s="7">
        <v>84</v>
      </c>
      <c r="B93" s="8" t="s">
        <v>23</v>
      </c>
      <c r="C93" s="8">
        <v>75110</v>
      </c>
      <c r="D93" s="9" t="s">
        <v>24</v>
      </c>
      <c r="E93" s="9" t="s">
        <v>77</v>
      </c>
      <c r="F93" s="9" t="s">
        <v>26</v>
      </c>
      <c r="G93" s="10" t="s">
        <v>27</v>
      </c>
      <c r="H93" s="11">
        <v>45924</v>
      </c>
      <c r="I93" s="12">
        <v>5</v>
      </c>
      <c r="J93" s="9" t="s">
        <v>28</v>
      </c>
      <c r="K93" s="9" t="s">
        <v>29</v>
      </c>
      <c r="L93" s="9" t="s">
        <v>30</v>
      </c>
    </row>
    <row r="94" spans="1:12" ht="15" thickBot="1" x14ac:dyDescent="0.35">
      <c r="A94" s="7">
        <v>85</v>
      </c>
      <c r="B94" s="13" t="s">
        <v>23</v>
      </c>
      <c r="C94" s="8">
        <v>75110</v>
      </c>
      <c r="D94" s="9" t="s">
        <v>24</v>
      </c>
      <c r="E94" s="9" t="s">
        <v>25</v>
      </c>
      <c r="F94" s="19" t="s">
        <v>26</v>
      </c>
      <c r="G94" s="20" t="s">
        <v>27</v>
      </c>
      <c r="H94" s="11">
        <v>45925</v>
      </c>
      <c r="I94" s="15">
        <v>0.5</v>
      </c>
      <c r="J94" s="9" t="s">
        <v>28</v>
      </c>
      <c r="K94" s="9" t="s">
        <v>29</v>
      </c>
      <c r="L94" s="9" t="s">
        <v>30</v>
      </c>
    </row>
    <row r="95" spans="1:12" ht="30" customHeight="1" thickTop="1" x14ac:dyDescent="0.3">
      <c r="A95" s="7">
        <v>86</v>
      </c>
      <c r="B95" s="13" t="s">
        <v>31</v>
      </c>
      <c r="C95" s="13">
        <v>71373</v>
      </c>
      <c r="D95" s="9" t="s">
        <v>32</v>
      </c>
      <c r="E95" s="9" t="s">
        <v>33</v>
      </c>
      <c r="F95" s="9" t="s">
        <v>34</v>
      </c>
      <c r="G95" s="14" t="s">
        <v>35</v>
      </c>
      <c r="H95" s="11">
        <v>45925</v>
      </c>
      <c r="I95" s="15">
        <v>0.5</v>
      </c>
      <c r="J95" s="9" t="s">
        <v>28</v>
      </c>
      <c r="K95" s="9" t="s">
        <v>29</v>
      </c>
      <c r="L95" s="9" t="s">
        <v>30</v>
      </c>
    </row>
    <row r="96" spans="1:12" ht="14.4" x14ac:dyDescent="0.3">
      <c r="A96" s="7">
        <v>87</v>
      </c>
      <c r="B96" s="8" t="s">
        <v>23</v>
      </c>
      <c r="C96" s="8">
        <v>75110</v>
      </c>
      <c r="D96" s="9" t="s">
        <v>24</v>
      </c>
      <c r="E96" s="9" t="s">
        <v>62</v>
      </c>
      <c r="F96" s="9" t="s">
        <v>26</v>
      </c>
      <c r="G96" s="10" t="s">
        <v>27</v>
      </c>
      <c r="H96" s="11">
        <v>45925</v>
      </c>
      <c r="I96" s="12">
        <v>0.5</v>
      </c>
      <c r="J96" s="9" t="s">
        <v>28</v>
      </c>
      <c r="K96" s="9" t="s">
        <v>29</v>
      </c>
      <c r="L96" s="9" t="s">
        <v>30</v>
      </c>
    </row>
    <row r="97" spans="1:12" ht="55.5" customHeight="1" x14ac:dyDescent="0.3">
      <c r="A97" s="7">
        <v>88</v>
      </c>
      <c r="B97" s="8" t="s">
        <v>23</v>
      </c>
      <c r="C97" s="8"/>
      <c r="D97" s="9" t="s">
        <v>75</v>
      </c>
      <c r="E97" s="9" t="s">
        <v>78</v>
      </c>
      <c r="F97" s="9" t="s">
        <v>26</v>
      </c>
      <c r="G97" s="10"/>
      <c r="H97" s="11">
        <v>45925</v>
      </c>
      <c r="I97" s="12">
        <v>1.5</v>
      </c>
      <c r="J97" s="9" t="s">
        <v>28</v>
      </c>
      <c r="K97" s="9" t="s">
        <v>29</v>
      </c>
      <c r="L97" s="9" t="s">
        <v>30</v>
      </c>
    </row>
    <row r="98" spans="1:12" ht="121.5" customHeight="1" x14ac:dyDescent="0.3">
      <c r="A98" s="7">
        <v>89</v>
      </c>
      <c r="B98" s="8" t="s">
        <v>23</v>
      </c>
      <c r="C98" s="8">
        <v>75110</v>
      </c>
      <c r="D98" s="9" t="s">
        <v>24</v>
      </c>
      <c r="E98" s="9" t="s">
        <v>79</v>
      </c>
      <c r="F98" s="9" t="s">
        <v>26</v>
      </c>
      <c r="G98" s="10" t="s">
        <v>27</v>
      </c>
      <c r="H98" s="11">
        <v>45925</v>
      </c>
      <c r="I98" s="12">
        <v>5</v>
      </c>
      <c r="J98" s="9" t="s">
        <v>28</v>
      </c>
      <c r="K98" s="9" t="s">
        <v>29</v>
      </c>
      <c r="L98" s="9" t="s">
        <v>30</v>
      </c>
    </row>
    <row r="99" spans="1:12" ht="23.25" customHeight="1" thickBot="1" x14ac:dyDescent="0.35">
      <c r="A99" s="7">
        <v>90</v>
      </c>
      <c r="B99" s="13" t="s">
        <v>23</v>
      </c>
      <c r="C99" s="8">
        <v>75110</v>
      </c>
      <c r="D99" s="9" t="s">
        <v>24</v>
      </c>
      <c r="E99" s="9" t="s">
        <v>25</v>
      </c>
      <c r="F99" s="19" t="s">
        <v>26</v>
      </c>
      <c r="G99" s="20" t="s">
        <v>27</v>
      </c>
      <c r="H99" s="11">
        <v>45926</v>
      </c>
      <c r="I99" s="15">
        <v>0.5</v>
      </c>
      <c r="J99" s="9" t="s">
        <v>28</v>
      </c>
      <c r="K99" s="9" t="s">
        <v>29</v>
      </c>
      <c r="L99" s="9" t="s">
        <v>30</v>
      </c>
    </row>
    <row r="100" spans="1:12" ht="31.5" customHeight="1" thickTop="1" x14ac:dyDescent="0.3">
      <c r="A100" s="7">
        <v>91</v>
      </c>
      <c r="B100" s="13" t="s">
        <v>31</v>
      </c>
      <c r="C100" s="13">
        <v>71373</v>
      </c>
      <c r="D100" s="9" t="s">
        <v>32</v>
      </c>
      <c r="E100" s="9" t="s">
        <v>33</v>
      </c>
      <c r="F100" s="9" t="s">
        <v>34</v>
      </c>
      <c r="G100" s="14" t="s">
        <v>35</v>
      </c>
      <c r="H100" s="11">
        <v>45926</v>
      </c>
      <c r="I100" s="15">
        <v>0.5</v>
      </c>
      <c r="J100" s="9" t="s">
        <v>28</v>
      </c>
      <c r="K100" s="9" t="s">
        <v>29</v>
      </c>
      <c r="L100" s="9" t="s">
        <v>30</v>
      </c>
    </row>
    <row r="101" spans="1:12" ht="14.4" x14ac:dyDescent="0.3">
      <c r="A101" s="7">
        <v>92</v>
      </c>
      <c r="B101" s="8" t="s">
        <v>23</v>
      </c>
      <c r="C101" s="8">
        <v>75110</v>
      </c>
      <c r="D101" s="9" t="s">
        <v>24</v>
      </c>
      <c r="E101" s="9" t="s">
        <v>61</v>
      </c>
      <c r="F101" s="9" t="s">
        <v>26</v>
      </c>
      <c r="G101" s="10" t="s">
        <v>27</v>
      </c>
      <c r="H101" s="11">
        <v>45926</v>
      </c>
      <c r="I101" s="12">
        <v>0.5</v>
      </c>
      <c r="J101" s="9" t="s">
        <v>28</v>
      </c>
      <c r="K101" s="9" t="s">
        <v>29</v>
      </c>
      <c r="L101" s="9" t="s">
        <v>30</v>
      </c>
    </row>
    <row r="102" spans="1:12" ht="14.4" x14ac:dyDescent="0.3">
      <c r="A102" s="7">
        <v>93</v>
      </c>
      <c r="B102" s="8" t="s">
        <v>23</v>
      </c>
      <c r="C102" s="8">
        <v>75110</v>
      </c>
      <c r="D102" s="9" t="s">
        <v>24</v>
      </c>
      <c r="E102" s="9" t="s">
        <v>62</v>
      </c>
      <c r="F102" s="9" t="s">
        <v>26</v>
      </c>
      <c r="G102" s="10" t="s">
        <v>27</v>
      </c>
      <c r="H102" s="11">
        <v>45926</v>
      </c>
      <c r="I102" s="12">
        <v>0.5</v>
      </c>
      <c r="J102" s="9" t="s">
        <v>28</v>
      </c>
      <c r="K102" s="9" t="s">
        <v>29</v>
      </c>
      <c r="L102" s="9" t="s">
        <v>30</v>
      </c>
    </row>
    <row r="103" spans="1:12" ht="14.4" x14ac:dyDescent="0.3">
      <c r="A103" s="7">
        <v>94</v>
      </c>
      <c r="B103" s="8" t="s">
        <v>23</v>
      </c>
      <c r="C103" s="8"/>
      <c r="D103" s="9" t="s">
        <v>75</v>
      </c>
      <c r="E103" s="9" t="s">
        <v>78</v>
      </c>
      <c r="F103" s="9" t="s">
        <v>26</v>
      </c>
      <c r="G103" s="10"/>
      <c r="H103" s="11">
        <v>45926</v>
      </c>
      <c r="I103" s="12">
        <v>2</v>
      </c>
      <c r="J103" s="9" t="s">
        <v>28</v>
      </c>
      <c r="K103" s="9" t="s">
        <v>29</v>
      </c>
      <c r="L103" s="9" t="s">
        <v>30</v>
      </c>
    </row>
    <row r="104" spans="1:12" ht="153.75" customHeight="1" x14ac:dyDescent="0.3">
      <c r="A104" s="7">
        <v>95</v>
      </c>
      <c r="B104" s="8" t="s">
        <v>23</v>
      </c>
      <c r="C104" s="8">
        <v>75110</v>
      </c>
      <c r="D104" s="9" t="s">
        <v>24</v>
      </c>
      <c r="E104" s="9" t="s">
        <v>80</v>
      </c>
      <c r="F104" s="9" t="s">
        <v>26</v>
      </c>
      <c r="G104" s="10" t="s">
        <v>27</v>
      </c>
      <c r="H104" s="11">
        <v>45926</v>
      </c>
      <c r="I104" s="12">
        <v>4</v>
      </c>
      <c r="J104" s="9" t="s">
        <v>28</v>
      </c>
      <c r="K104" s="9" t="s">
        <v>29</v>
      </c>
      <c r="L104" s="9" t="s">
        <v>30</v>
      </c>
    </row>
    <row r="105" spans="1:12" ht="15" thickBot="1" x14ac:dyDescent="0.35">
      <c r="A105" s="7">
        <v>96</v>
      </c>
      <c r="B105" s="13" t="s">
        <v>23</v>
      </c>
      <c r="C105" s="8">
        <v>75110</v>
      </c>
      <c r="D105" s="9" t="s">
        <v>24</v>
      </c>
      <c r="E105" s="9" t="s">
        <v>25</v>
      </c>
      <c r="F105" s="19" t="s">
        <v>26</v>
      </c>
      <c r="G105" s="20" t="s">
        <v>27</v>
      </c>
      <c r="H105" s="11">
        <v>45929</v>
      </c>
      <c r="I105" s="15">
        <v>0.5</v>
      </c>
      <c r="J105" s="9" t="s">
        <v>28</v>
      </c>
      <c r="K105" s="9" t="s">
        <v>29</v>
      </c>
      <c r="L105" s="9" t="s">
        <v>30</v>
      </c>
    </row>
    <row r="106" spans="1:12" ht="28.2" thickTop="1" x14ac:dyDescent="0.3">
      <c r="A106" s="7">
        <v>97</v>
      </c>
      <c r="B106" s="13" t="s">
        <v>31</v>
      </c>
      <c r="C106" s="13">
        <v>71373</v>
      </c>
      <c r="D106" s="9" t="s">
        <v>32</v>
      </c>
      <c r="E106" s="9" t="s">
        <v>33</v>
      </c>
      <c r="F106" s="9" t="s">
        <v>34</v>
      </c>
      <c r="G106" s="14" t="s">
        <v>35</v>
      </c>
      <c r="H106" s="11">
        <v>45929</v>
      </c>
      <c r="I106" s="15">
        <v>0.5</v>
      </c>
      <c r="J106" s="9" t="s">
        <v>28</v>
      </c>
      <c r="K106" s="9" t="s">
        <v>29</v>
      </c>
      <c r="L106" s="9" t="s">
        <v>30</v>
      </c>
    </row>
    <row r="107" spans="1:12" ht="14.4" x14ac:dyDescent="0.3">
      <c r="A107" s="7">
        <v>98</v>
      </c>
      <c r="B107" s="8" t="s">
        <v>23</v>
      </c>
      <c r="C107" s="8">
        <v>75110</v>
      </c>
      <c r="D107" s="9" t="s">
        <v>24</v>
      </c>
      <c r="E107" s="9" t="s">
        <v>61</v>
      </c>
      <c r="F107" s="9" t="s">
        <v>26</v>
      </c>
      <c r="G107" s="10" t="s">
        <v>27</v>
      </c>
      <c r="H107" s="11">
        <v>45929</v>
      </c>
      <c r="I107" s="12">
        <v>1</v>
      </c>
      <c r="J107" s="9" t="s">
        <v>28</v>
      </c>
      <c r="K107" s="9" t="s">
        <v>29</v>
      </c>
      <c r="L107" s="9" t="s">
        <v>30</v>
      </c>
    </row>
    <row r="108" spans="1:12" ht="14.4" x14ac:dyDescent="0.3">
      <c r="A108" s="7">
        <v>99</v>
      </c>
      <c r="B108" s="8" t="s">
        <v>23</v>
      </c>
      <c r="C108" s="8">
        <v>75110</v>
      </c>
      <c r="D108" s="9" t="s">
        <v>24</v>
      </c>
      <c r="E108" s="9" t="s">
        <v>62</v>
      </c>
      <c r="F108" s="9" t="s">
        <v>26</v>
      </c>
      <c r="G108" s="10" t="s">
        <v>27</v>
      </c>
      <c r="H108" s="11">
        <v>45929</v>
      </c>
      <c r="I108" s="12">
        <v>0.5</v>
      </c>
      <c r="J108" s="9" t="s">
        <v>28</v>
      </c>
      <c r="K108" s="9" t="s">
        <v>29</v>
      </c>
      <c r="L108" s="9" t="s">
        <v>30</v>
      </c>
    </row>
    <row r="109" spans="1:12" ht="27.6" x14ac:dyDescent="0.3">
      <c r="A109" s="7">
        <v>100</v>
      </c>
      <c r="B109" s="8" t="s">
        <v>23</v>
      </c>
      <c r="C109" s="8">
        <v>75110</v>
      </c>
      <c r="D109" s="9" t="s">
        <v>24</v>
      </c>
      <c r="E109" s="9" t="s">
        <v>81</v>
      </c>
      <c r="F109" s="9" t="s">
        <v>26</v>
      </c>
      <c r="G109" s="10" t="s">
        <v>27</v>
      </c>
      <c r="H109" s="11">
        <v>45929</v>
      </c>
      <c r="I109" s="12">
        <v>2</v>
      </c>
      <c r="J109" s="9" t="s">
        <v>28</v>
      </c>
      <c r="K109" s="9" t="s">
        <v>29</v>
      </c>
      <c r="L109" s="9" t="s">
        <v>30</v>
      </c>
    </row>
    <row r="110" spans="1:12" ht="120" customHeight="1" x14ac:dyDescent="0.3">
      <c r="A110" s="7">
        <v>101</v>
      </c>
      <c r="B110" s="8" t="s">
        <v>23</v>
      </c>
      <c r="C110" s="8">
        <v>75110</v>
      </c>
      <c r="D110" s="9" t="s">
        <v>24</v>
      </c>
      <c r="E110" s="9" t="s">
        <v>82</v>
      </c>
      <c r="F110" s="9" t="s">
        <v>26</v>
      </c>
      <c r="G110" s="10" t="s">
        <v>27</v>
      </c>
      <c r="H110" s="11">
        <v>45929</v>
      </c>
      <c r="I110" s="12">
        <v>3.5</v>
      </c>
      <c r="J110" s="9" t="s">
        <v>28</v>
      </c>
      <c r="K110" s="9" t="s">
        <v>29</v>
      </c>
      <c r="L110" s="9" t="s">
        <v>30</v>
      </c>
    </row>
    <row r="111" spans="1:12" ht="15" thickBot="1" x14ac:dyDescent="0.35">
      <c r="A111" s="7">
        <v>102</v>
      </c>
      <c r="B111" s="13" t="s">
        <v>23</v>
      </c>
      <c r="C111" s="8">
        <v>75110</v>
      </c>
      <c r="D111" s="9" t="s">
        <v>24</v>
      </c>
      <c r="E111" s="9" t="s">
        <v>25</v>
      </c>
      <c r="F111" s="19" t="s">
        <v>26</v>
      </c>
      <c r="G111" s="20" t="s">
        <v>27</v>
      </c>
      <c r="H111" s="11">
        <v>45930</v>
      </c>
      <c r="I111" s="15">
        <v>0.5</v>
      </c>
      <c r="J111" s="9" t="s">
        <v>28</v>
      </c>
      <c r="K111" s="9" t="s">
        <v>29</v>
      </c>
      <c r="L111" s="9" t="s">
        <v>30</v>
      </c>
    </row>
    <row r="112" spans="1:12" ht="15" thickTop="1" x14ac:dyDescent="0.3">
      <c r="A112" s="7">
        <v>103</v>
      </c>
      <c r="B112" s="8" t="s">
        <v>23</v>
      </c>
      <c r="C112" s="8">
        <v>75110</v>
      </c>
      <c r="D112" s="9" t="s">
        <v>24</v>
      </c>
      <c r="E112" s="9" t="s">
        <v>61</v>
      </c>
      <c r="F112" s="9" t="s">
        <v>26</v>
      </c>
      <c r="G112" s="10" t="s">
        <v>27</v>
      </c>
      <c r="H112" s="11">
        <v>45930</v>
      </c>
      <c r="I112" s="12">
        <v>0.5</v>
      </c>
      <c r="J112" s="9" t="s">
        <v>28</v>
      </c>
      <c r="K112" s="9" t="s">
        <v>29</v>
      </c>
      <c r="L112" s="9" t="s">
        <v>30</v>
      </c>
    </row>
    <row r="113" spans="1:12" ht="150" customHeight="1" x14ac:dyDescent="0.3">
      <c r="A113" s="7">
        <v>104</v>
      </c>
      <c r="B113" s="8" t="s">
        <v>23</v>
      </c>
      <c r="C113" s="8">
        <v>75110</v>
      </c>
      <c r="D113" s="9" t="s">
        <v>24</v>
      </c>
      <c r="E113" s="9" t="s">
        <v>83</v>
      </c>
      <c r="F113" s="9" t="s">
        <v>26</v>
      </c>
      <c r="G113" s="10" t="s">
        <v>27</v>
      </c>
      <c r="H113" s="11">
        <v>45930</v>
      </c>
      <c r="I113" s="12">
        <v>5.5</v>
      </c>
      <c r="J113" s="9" t="s">
        <v>28</v>
      </c>
      <c r="K113" s="9" t="s">
        <v>29</v>
      </c>
      <c r="L113" s="9" t="s">
        <v>30</v>
      </c>
    </row>
    <row r="114" spans="1:12" ht="27.6" x14ac:dyDescent="0.3">
      <c r="A114" s="7">
        <v>105</v>
      </c>
      <c r="B114" s="13" t="s">
        <v>31</v>
      </c>
      <c r="C114" s="13">
        <v>71373</v>
      </c>
      <c r="D114" s="9" t="s">
        <v>32</v>
      </c>
      <c r="E114" s="9" t="s">
        <v>74</v>
      </c>
      <c r="F114" s="9" t="s">
        <v>34</v>
      </c>
      <c r="G114" s="14" t="s">
        <v>35</v>
      </c>
      <c r="H114" s="11">
        <v>45930</v>
      </c>
      <c r="I114" s="15">
        <v>1.5</v>
      </c>
      <c r="J114" s="9" t="s">
        <v>28</v>
      </c>
      <c r="K114" s="9" t="s">
        <v>29</v>
      </c>
      <c r="L114" s="9" t="s">
        <v>30</v>
      </c>
    </row>
    <row r="115" spans="1:12" x14ac:dyDescent="0.3">
      <c r="A115" s="21"/>
      <c r="C115" s="21"/>
      <c r="D115" s="21"/>
      <c r="E115" s="21"/>
      <c r="F115" s="21"/>
      <c r="G115" s="21"/>
      <c r="H115" s="22"/>
      <c r="J115" s="21"/>
    </row>
    <row r="116" spans="1:12" x14ac:dyDescent="0.3">
      <c r="A116" s="23"/>
      <c r="B116" s="23"/>
      <c r="C116" s="23"/>
      <c r="D116" s="23"/>
      <c r="E116" s="23"/>
      <c r="F116" s="23"/>
      <c r="H116" s="34" t="s">
        <v>84</v>
      </c>
      <c r="I116" s="35"/>
      <c r="J116" s="35"/>
      <c r="K116" s="36"/>
      <c r="L116" s="24">
        <f>SUMIF($J$10:$J$114,"HN",$I$10:$I$114)</f>
        <v>176</v>
      </c>
    </row>
    <row r="117" spans="1:12" x14ac:dyDescent="0.3">
      <c r="A117" s="23"/>
      <c r="B117" s="23"/>
      <c r="C117" s="23"/>
      <c r="D117" s="23"/>
      <c r="E117" s="23"/>
      <c r="F117" s="23"/>
      <c r="H117" s="34" t="s">
        <v>85</v>
      </c>
      <c r="I117" s="35"/>
      <c r="J117" s="35"/>
      <c r="K117" s="36"/>
      <c r="L117" s="24">
        <f ca="1">SUMIF($J$10:$J$114,"HS",$I$29:$I$114)</f>
        <v>0</v>
      </c>
    </row>
    <row r="118" spans="1:12" x14ac:dyDescent="0.3">
      <c r="A118" s="23"/>
      <c r="B118" s="23"/>
      <c r="C118" s="23"/>
      <c r="D118" s="23"/>
      <c r="E118" s="23"/>
      <c r="F118" s="23"/>
      <c r="H118" s="34" t="s">
        <v>86</v>
      </c>
      <c r="I118" s="35"/>
      <c r="J118" s="35"/>
      <c r="K118" s="36"/>
      <c r="L118" s="24">
        <f>SUMIF($J$10:$J$114,"HF",$I$10:$I$114)</f>
        <v>0</v>
      </c>
    </row>
    <row r="119" spans="1:12" x14ac:dyDescent="0.3">
      <c r="A119" s="23"/>
      <c r="B119" s="23"/>
      <c r="C119" s="23"/>
      <c r="D119" s="23"/>
      <c r="E119" s="23"/>
      <c r="F119" s="23"/>
      <c r="G119" s="25"/>
      <c r="H119" s="26"/>
      <c r="I119" s="26"/>
      <c r="J119" s="25"/>
    </row>
    <row r="120" spans="1:12" ht="12.9" customHeight="1" x14ac:dyDescent="0.3">
      <c r="A120" s="37" t="s">
        <v>87</v>
      </c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</row>
    <row r="121" spans="1:12" x14ac:dyDescent="0.3">
      <c r="A121" s="27"/>
      <c r="B121" s="3"/>
      <c r="C121" s="27"/>
      <c r="D121" s="27"/>
      <c r="E121" s="27"/>
      <c r="F121" s="27"/>
      <c r="G121" s="27"/>
      <c r="H121" s="2"/>
      <c r="I121" s="2"/>
      <c r="J121" s="27"/>
    </row>
    <row r="122" spans="1:12" ht="26.25" customHeight="1" x14ac:dyDescent="0.3">
      <c r="A122" s="37" t="s">
        <v>88</v>
      </c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</row>
    <row r="123" spans="1:12" x14ac:dyDescent="0.3">
      <c r="H123" s="22"/>
      <c r="I123" s="22"/>
      <c r="J123" s="21"/>
    </row>
    <row r="124" spans="1:12" x14ac:dyDescent="0.3">
      <c r="A124" s="38" t="s">
        <v>89</v>
      </c>
      <c r="B124" s="39"/>
      <c r="C124" s="39"/>
      <c r="D124" s="39"/>
      <c r="E124" s="39"/>
      <c r="F124" s="40"/>
      <c r="G124" s="41" t="s">
        <v>90</v>
      </c>
      <c r="H124" s="41"/>
      <c r="I124" s="41"/>
      <c r="J124" s="41"/>
      <c r="K124" s="41"/>
      <c r="L124" s="41"/>
    </row>
    <row r="125" spans="1:12" ht="49.5" customHeight="1" x14ac:dyDescent="0.3">
      <c r="A125" s="30"/>
      <c r="B125" s="31"/>
      <c r="C125" s="31"/>
      <c r="D125" s="31"/>
      <c r="E125" s="31"/>
      <c r="F125" s="32"/>
      <c r="G125" s="33"/>
      <c r="H125" s="33"/>
      <c r="I125" s="33"/>
      <c r="J125" s="33"/>
      <c r="K125" s="33"/>
      <c r="L125" s="33"/>
    </row>
    <row r="126" spans="1:12" x14ac:dyDescent="0.3">
      <c r="A126" s="30" t="str">
        <f>$C$6</f>
        <v>David Vargas A.</v>
      </c>
      <c r="B126" s="31"/>
      <c r="C126" s="31"/>
      <c r="D126" s="31"/>
      <c r="E126" s="31"/>
      <c r="F126" s="32"/>
      <c r="G126" s="33" t="s">
        <v>91</v>
      </c>
      <c r="H126" s="33"/>
      <c r="I126" s="33"/>
      <c r="J126" s="33"/>
      <c r="K126" s="33"/>
      <c r="L126" s="33"/>
    </row>
    <row r="127" spans="1:12" ht="15" customHeight="1" x14ac:dyDescent="0.3">
      <c r="A127" s="30" t="s">
        <v>92</v>
      </c>
      <c r="B127" s="31"/>
      <c r="C127" s="31"/>
      <c r="D127" s="31"/>
      <c r="E127" s="31"/>
      <c r="F127" s="32"/>
      <c r="G127" s="33" t="s">
        <v>93</v>
      </c>
      <c r="H127" s="33"/>
      <c r="I127" s="33"/>
      <c r="J127" s="33"/>
      <c r="K127" s="33"/>
      <c r="L127" s="33"/>
    </row>
  </sheetData>
  <mergeCells count="25">
    <mergeCell ref="H116:K116"/>
    <mergeCell ref="A1:J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8:L8"/>
    <mergeCell ref="H117:K117"/>
    <mergeCell ref="H118:K118"/>
    <mergeCell ref="A120:L120"/>
    <mergeCell ref="A122:L122"/>
    <mergeCell ref="A124:F124"/>
    <mergeCell ref="G124:L124"/>
    <mergeCell ref="A125:F125"/>
    <mergeCell ref="G125:L125"/>
    <mergeCell ref="A126:F126"/>
    <mergeCell ref="G126:L126"/>
    <mergeCell ref="A127:F127"/>
    <mergeCell ref="G127:L127"/>
  </mergeCells>
  <hyperlinks>
    <hyperlink ref="G10" r:id="rId1" xr:uid="{98E262C5-3400-41D7-B272-D526D526517C}"/>
    <hyperlink ref="G12" r:id="rId2" xr:uid="{5D326B20-BD51-4345-B58F-7FC9FED311E0}"/>
    <hyperlink ref="G14" r:id="rId3" xr:uid="{9A65D253-92C0-477E-8435-7B399CF1904A}"/>
    <hyperlink ref="G16" r:id="rId4" xr:uid="{205CE2FF-B338-44D7-96B4-BBA40D036EAD}"/>
    <hyperlink ref="G20" r:id="rId5" xr:uid="{DF6CD213-982B-4073-960C-CE96FC8BDD4A}"/>
    <hyperlink ref="G22" r:id="rId6" xr:uid="{151D679E-C7D4-45E7-B277-3F670A86874F}"/>
    <hyperlink ref="G23" r:id="rId7" xr:uid="{17E894D3-D131-404E-AFCE-FEE288E03357}"/>
    <hyperlink ref="G25" r:id="rId8" xr:uid="{4C5098F0-8EF7-48E7-AC16-65B005153575}"/>
    <hyperlink ref="G26" r:id="rId9" xr:uid="{77CA64D7-0CAE-4AB3-9435-7823920E28FE}"/>
    <hyperlink ref="G28" r:id="rId10" xr:uid="{C9A72FE2-60BF-41CC-A19F-9B30639A5487}"/>
    <hyperlink ref="G29" r:id="rId11" xr:uid="{87DAA1B7-144B-4F28-B81D-2BCB888512B4}"/>
    <hyperlink ref="G30" r:id="rId12" xr:uid="{4C6644AF-BC0A-4212-ABD9-D653165CD76F}"/>
    <hyperlink ref="G33" r:id="rId13" xr:uid="{08DDE630-1056-49BC-83BA-7DF45F29A0D1}"/>
    <hyperlink ref="G34" r:id="rId14" xr:uid="{68532C63-3823-455F-B63D-775ECBDD3DC6}"/>
    <hyperlink ref="G35" r:id="rId15" xr:uid="{0EF48291-06E3-4CDC-ABDA-4B50F20D7CE8}"/>
    <hyperlink ref="G38" r:id="rId16" xr:uid="{684A4663-2029-495C-9629-0E6C6CEB889B}"/>
    <hyperlink ref="G39" r:id="rId17" xr:uid="{98D81D8E-86E8-439C-BD70-4CDC75703E05}"/>
    <hyperlink ref="G40" r:id="rId18" xr:uid="{337EDF4E-D29C-445F-932E-41326C91C404}"/>
    <hyperlink ref="G44" r:id="rId19" xr:uid="{E164C3E7-3C34-46EB-B9C1-38490FAF9C2A}"/>
    <hyperlink ref="G45" r:id="rId20" xr:uid="{19698C8E-62EC-467C-8B7A-4B731BD771EA}"/>
    <hyperlink ref="G47" r:id="rId21" xr:uid="{DB5C0FA8-A470-4AB2-ADDA-50F4AF8EB2E1}"/>
    <hyperlink ref="G48" r:id="rId22" xr:uid="{5BE00FA9-459E-441A-93FB-899AE6F5A0DD}"/>
    <hyperlink ref="G51" r:id="rId23" xr:uid="{AFD258F1-A32F-44BF-93E6-187E36C4C787}"/>
    <hyperlink ref="G52" r:id="rId24" xr:uid="{BC1A8AC6-4B7B-408A-A3F2-B1EB6E917D65}"/>
    <hyperlink ref="G54" r:id="rId25" xr:uid="{FAFD0F43-A0EE-4C44-8C1D-8DF92B644880}"/>
    <hyperlink ref="G55" r:id="rId26" xr:uid="{448C5EF8-7772-4152-87E7-87669EE9EAED}"/>
    <hyperlink ref="G56" r:id="rId27" xr:uid="{1CAB22DA-A2E0-4F5C-9BDB-901B4DE0F866}"/>
    <hyperlink ref="G58" r:id="rId28" xr:uid="{3E8290E2-C00C-4EB1-B44E-6D2492A37B52}"/>
    <hyperlink ref="G59" r:id="rId29" xr:uid="{F1036D6C-C03E-4B3C-9324-E72C888EAD76}"/>
    <hyperlink ref="G60" r:id="rId30" xr:uid="{CD35AD2F-3D19-4F91-BC5B-325A68544650}"/>
    <hyperlink ref="G62" r:id="rId31" xr:uid="{EC85389F-E960-4887-B718-51B89941864A}"/>
    <hyperlink ref="G63" r:id="rId32" xr:uid="{88A2624E-BD48-4747-9912-E6AD7F86F6AC}"/>
    <hyperlink ref="G65" r:id="rId33" xr:uid="{FB9C2AD8-006B-4706-BD7D-F5C526A5E193}"/>
    <hyperlink ref="G68" r:id="rId34" xr:uid="{86283C24-A06B-4AC1-84BE-14BC80A2C5A4}"/>
    <hyperlink ref="G69" r:id="rId35" xr:uid="{F855F6B0-4800-4B34-AB3A-9A567F5B950D}"/>
    <hyperlink ref="G72" r:id="rId36" xr:uid="{1E853105-708B-4E2E-805A-3955D4E109D1}"/>
    <hyperlink ref="G74" r:id="rId37" xr:uid="{9C7C3780-92AF-461D-B17D-9D6ED914F1D6}"/>
    <hyperlink ref="G75" r:id="rId38" xr:uid="{5502E8FD-F27E-47AC-A610-8E4C5AACB6F9}"/>
    <hyperlink ref="G77" r:id="rId39" xr:uid="{8FBD5F82-D6AE-4374-A5BD-CAFAB836AAD6}"/>
    <hyperlink ref="G78" r:id="rId40" xr:uid="{B8B443A3-AAAF-4F93-A737-0EE877CA62FE}"/>
    <hyperlink ref="G80" r:id="rId41" xr:uid="{C2265645-73F0-47A4-86F7-B06129400AD5}"/>
    <hyperlink ref="G81" r:id="rId42" xr:uid="{36A27E88-9027-4AAA-8052-B1609C848C07}"/>
    <hyperlink ref="G84" r:id="rId43" xr:uid="{300E05D4-9CA8-482A-B857-BF3EAC4E9646}"/>
    <hyperlink ref="G89" r:id="rId44" xr:uid="{12450360-9A8E-45AF-ACDE-41C0B7C23B39}"/>
    <hyperlink ref="G85" r:id="rId45" xr:uid="{8BCF301F-A37E-4967-98C5-57A0EBB1EA17}"/>
    <hyperlink ref="G90" r:id="rId46" xr:uid="{6A27C494-6666-416E-9A3F-3C70B3F2DCFB}"/>
    <hyperlink ref="G93" r:id="rId47" xr:uid="{BF2CA850-5B9B-4BE5-BB0A-C6DE86A27599}"/>
    <hyperlink ref="G92" r:id="rId48" xr:uid="{103A7681-E923-49D9-82A7-F8CCAECF6A50}"/>
    <hyperlink ref="G94" r:id="rId49" xr:uid="{5A437973-0368-4890-882E-67A26AD7565C}"/>
    <hyperlink ref="G96" r:id="rId50" xr:uid="{D0A12DF8-84BB-4501-AF19-4958A0ABEA95}"/>
    <hyperlink ref="G99" r:id="rId51" xr:uid="{650AB116-4FFB-45FB-9195-C28DE656E2F7}"/>
    <hyperlink ref="G102" r:id="rId52" xr:uid="{B17B8748-F8FD-43C0-ADAC-C748CAF91F49}"/>
    <hyperlink ref="G101" r:id="rId53" xr:uid="{02C45496-9107-40B5-898B-FD2502531691}"/>
    <hyperlink ref="G104" r:id="rId54" xr:uid="{D1F2D781-47E4-413F-9130-5158AD1F6906}"/>
    <hyperlink ref="G105" r:id="rId55" xr:uid="{07B06F93-A88A-41A2-AD9B-81B2D9CA57EA}"/>
    <hyperlink ref="G108" r:id="rId56" xr:uid="{2B1A8488-01EC-45AB-B16E-56B2F2052133}"/>
    <hyperlink ref="G107" r:id="rId57" xr:uid="{F9F97869-6AD7-40C3-8C24-BF6AA66D5EB5}"/>
    <hyperlink ref="G109" r:id="rId58" xr:uid="{376B6A99-12AD-4F3F-9DCC-1B552F00B675}"/>
    <hyperlink ref="G110" r:id="rId59" xr:uid="{4EFDCDC3-3490-4E59-B0F5-2B4DB60F865F}"/>
    <hyperlink ref="G111" r:id="rId60" xr:uid="{6765CBF5-E249-4495-8AF1-E5335116456D}"/>
    <hyperlink ref="G112" r:id="rId61" xr:uid="{A219FB9B-09C1-4380-8003-44EF88390E32}"/>
    <hyperlink ref="G113" r:id="rId62" xr:uid="{81F68F3C-1798-4536-B01E-7B72E2FC2452}"/>
    <hyperlink ref="G57" r:id="rId63" xr:uid="{A85C1BE0-A8DA-446B-90FC-1C9F8E02107E}"/>
    <hyperlink ref="G61" r:id="rId64" xr:uid="{F3DF2437-10FF-45D2-91C2-E849DD96C33E}"/>
    <hyperlink ref="G67" r:id="rId65" xr:uid="{B6069FAE-E44C-4B0E-A89C-E5A6A76B35C6}"/>
    <hyperlink ref="G73" r:id="rId66" xr:uid="{4A368364-1D7B-48A5-AB20-D857A7CED61E}"/>
    <hyperlink ref="G79" r:id="rId67" xr:uid="{344BF883-BE8A-4202-AD03-FE025060ED5D}"/>
  </hyperlinks>
  <pageMargins left="0.7" right="0.7" top="0.75" bottom="0.75" header="0.3" footer="0.3"/>
  <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BC51-08C2-457B-868F-52BF84106DB6}">
  <dimension ref="A1:B24"/>
  <sheetViews>
    <sheetView workbookViewId="0"/>
  </sheetViews>
  <sheetFormatPr baseColWidth="10" defaultRowHeight="14.4" x14ac:dyDescent="0.3"/>
  <cols>
    <col min="1" max="1" width="17.33203125" bestFit="1" customWidth="1"/>
    <col min="2" max="2" width="14" bestFit="1" customWidth="1"/>
  </cols>
  <sheetData>
    <row r="1" spans="1:2" x14ac:dyDescent="0.3">
      <c r="A1" s="28" t="s">
        <v>94</v>
      </c>
      <c r="B1" t="s">
        <v>96</v>
      </c>
    </row>
    <row r="2" spans="1:2" x14ac:dyDescent="0.3">
      <c r="A2" s="29">
        <v>45901</v>
      </c>
      <c r="B2">
        <v>8</v>
      </c>
    </row>
    <row r="3" spans="1:2" x14ac:dyDescent="0.3">
      <c r="A3" s="29">
        <v>45902</v>
      </c>
      <c r="B3">
        <v>8</v>
      </c>
    </row>
    <row r="4" spans="1:2" x14ac:dyDescent="0.3">
      <c r="A4" s="29">
        <v>45903</v>
      </c>
      <c r="B4">
        <v>8</v>
      </c>
    </row>
    <row r="5" spans="1:2" x14ac:dyDescent="0.3">
      <c r="A5" s="29">
        <v>45904</v>
      </c>
      <c r="B5">
        <v>8</v>
      </c>
    </row>
    <row r="6" spans="1:2" x14ac:dyDescent="0.3">
      <c r="A6" s="29">
        <v>45905</v>
      </c>
      <c r="B6">
        <v>8</v>
      </c>
    </row>
    <row r="7" spans="1:2" x14ac:dyDescent="0.3">
      <c r="A7" s="29">
        <v>45908</v>
      </c>
      <c r="B7">
        <v>8</v>
      </c>
    </row>
    <row r="8" spans="1:2" x14ac:dyDescent="0.3">
      <c r="A8" s="29">
        <v>45909</v>
      </c>
      <c r="B8">
        <v>8</v>
      </c>
    </row>
    <row r="9" spans="1:2" x14ac:dyDescent="0.3">
      <c r="A9" s="29">
        <v>45910</v>
      </c>
      <c r="B9">
        <v>8</v>
      </c>
    </row>
    <row r="10" spans="1:2" x14ac:dyDescent="0.3">
      <c r="A10" s="29">
        <v>45911</v>
      </c>
      <c r="B10">
        <v>8</v>
      </c>
    </row>
    <row r="11" spans="1:2" x14ac:dyDescent="0.3">
      <c r="A11" s="29">
        <v>45912</v>
      </c>
      <c r="B11">
        <v>8</v>
      </c>
    </row>
    <row r="12" spans="1:2" x14ac:dyDescent="0.3">
      <c r="A12" s="29">
        <v>45915</v>
      </c>
      <c r="B12">
        <v>8</v>
      </c>
    </row>
    <row r="13" spans="1:2" x14ac:dyDescent="0.3">
      <c r="A13" s="29">
        <v>45916</v>
      </c>
      <c r="B13">
        <v>8</v>
      </c>
    </row>
    <row r="14" spans="1:2" x14ac:dyDescent="0.3">
      <c r="A14" s="29">
        <v>45917</v>
      </c>
      <c r="B14">
        <v>8</v>
      </c>
    </row>
    <row r="15" spans="1:2" x14ac:dyDescent="0.3">
      <c r="A15" s="29">
        <v>45918</v>
      </c>
      <c r="B15">
        <v>8</v>
      </c>
    </row>
    <row r="16" spans="1:2" x14ac:dyDescent="0.3">
      <c r="A16" s="29">
        <v>45919</v>
      </c>
      <c r="B16">
        <v>8</v>
      </c>
    </row>
    <row r="17" spans="1:2" x14ac:dyDescent="0.3">
      <c r="A17" s="29">
        <v>45922</v>
      </c>
      <c r="B17">
        <v>8</v>
      </c>
    </row>
    <row r="18" spans="1:2" x14ac:dyDescent="0.3">
      <c r="A18" s="29">
        <v>45923</v>
      </c>
      <c r="B18">
        <v>8</v>
      </c>
    </row>
    <row r="19" spans="1:2" x14ac:dyDescent="0.3">
      <c r="A19" s="29">
        <v>45924</v>
      </c>
      <c r="B19">
        <v>8</v>
      </c>
    </row>
    <row r="20" spans="1:2" x14ac:dyDescent="0.3">
      <c r="A20" s="29">
        <v>45925</v>
      </c>
      <c r="B20">
        <v>8</v>
      </c>
    </row>
    <row r="21" spans="1:2" x14ac:dyDescent="0.3">
      <c r="A21" s="29">
        <v>45926</v>
      </c>
      <c r="B21">
        <v>8</v>
      </c>
    </row>
    <row r="22" spans="1:2" x14ac:dyDescent="0.3">
      <c r="A22" s="29">
        <v>45929</v>
      </c>
      <c r="B22">
        <v>8</v>
      </c>
    </row>
    <row r="23" spans="1:2" x14ac:dyDescent="0.3">
      <c r="A23" s="29">
        <v>45930</v>
      </c>
      <c r="B23">
        <v>8</v>
      </c>
    </row>
    <row r="24" spans="1:2" x14ac:dyDescent="0.3">
      <c r="A24" s="29" t="s">
        <v>95</v>
      </c>
      <c r="B24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David Vargas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Vargas</dc:creator>
  <cp:lastModifiedBy>Diego Val</cp:lastModifiedBy>
  <dcterms:created xsi:type="dcterms:W3CDTF">2025-09-30T18:37:11Z</dcterms:created>
  <dcterms:modified xsi:type="dcterms:W3CDTF">2025-10-13T20:10:48Z</dcterms:modified>
</cp:coreProperties>
</file>