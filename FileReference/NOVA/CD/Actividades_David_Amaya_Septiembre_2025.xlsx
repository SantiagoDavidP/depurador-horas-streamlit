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val_grupobusiness_it/Documents/Staff Augmentation/Clientes/NOVA/Facturación/Setiembre25/CD/Reportes/"/>
    </mc:Choice>
  </mc:AlternateContent>
  <xr:revisionPtr revIDLastSave="4" documentId="13_ncr:1_{51721A2E-3BD9-4C8C-92AD-E093D7C10394}" xr6:coauthVersionLast="47" xr6:coauthVersionMax="47" xr10:uidLastSave="{B7DE54A8-E426-4A8A-9E21-7B803257131A}"/>
  <bookViews>
    <workbookView xWindow="-108" yWindow="-108" windowWidth="23256" windowHeight="12456" xr2:uid="{00000000-000D-0000-FFFF-FFFF00000000}"/>
  </bookViews>
  <sheets>
    <sheet name="Detalle" sheetId="29" r:id="rId1"/>
    <sheet name="Resumen" sheetId="5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29" l="1"/>
  <c r="A117" i="29"/>
</calcChain>
</file>

<file path=xl/sharedStrings.xml><?xml version="1.0" encoding="utf-8"?>
<sst xmlns="http://schemas.openxmlformats.org/spreadsheetml/2006/main" count="332" uniqueCount="102">
  <si>
    <t xml:space="preserve">          INFORME ACTIVIDADES</t>
  </si>
  <si>
    <t>Fecha del Informe:</t>
  </si>
  <si>
    <t>Tema del Informe:</t>
  </si>
  <si>
    <t>Informe de Actividades</t>
  </si>
  <si>
    <t>Periodo Informe:</t>
  </si>
  <si>
    <t>Empresa:</t>
  </si>
  <si>
    <t>Consultor:</t>
  </si>
  <si>
    <t>Trabajo Realizado</t>
  </si>
  <si>
    <t>#</t>
  </si>
  <si>
    <t>Proyecto, Requerimiento</t>
  </si>
  <si>
    <t>Actividad</t>
  </si>
  <si>
    <t>Fecha</t>
  </si>
  <si>
    <t>Horas</t>
  </si>
  <si>
    <t>Tipo Hora</t>
  </si>
  <si>
    <t>HN</t>
  </si>
  <si>
    <t>Elaborado por:</t>
  </si>
  <si>
    <t>Aprobado por:</t>
  </si>
  <si>
    <t>Oswaldo Zuñiga</t>
  </si>
  <si>
    <t>Subgerente de Innovación y Nuevas Tecnologías</t>
  </si>
  <si>
    <t>Business IT</t>
  </si>
  <si>
    <t>Etiquetas de fila</t>
  </si>
  <si>
    <t>Total general</t>
  </si>
  <si>
    <t>Desarrollador FullStack</t>
  </si>
  <si>
    <t>Suma de Horas</t>
  </si>
  <si>
    <t>David Alexander Amaya Cruz</t>
  </si>
  <si>
    <t>Shield Seguros</t>
  </si>
  <si>
    <t>Daily: Shield y Atómicos; Revisión de correos y tablero</t>
  </si>
  <si>
    <t>01/09/2025 – 30/09/2025</t>
  </si>
  <si>
    <t>SaleGateway: Apoyo preparación paso a producción</t>
  </si>
  <si>
    <t>CMB: Op Ganada: Integration, tests</t>
  </si>
  <si>
    <t>CMB: Op Ganada: Integration, Fix CS, PR QA</t>
  </si>
  <si>
    <t>CMB: OP Ganada: Refactor recibir base 64 en MessenegrService Error y enviarlo desde Integration</t>
  </si>
  <si>
    <t>Reu devs, QA para CMB mail</t>
  </si>
  <si>
    <t>CMB: control duplicidad por external reference, (inicio desarrollo)</t>
  </si>
  <si>
    <t>Refinamineto</t>
  </si>
  <si>
    <t>HUB: Apoyo David Vargas</t>
  </si>
  <si>
    <t>CMB: Pruebas con Sale</t>
  </si>
  <si>
    <t>HUB: Prubas producción</t>
  </si>
  <si>
    <t>CMB: control duplicidad por external reference</t>
  </si>
  <si>
    <t>CMB: control duplicidad por external reference, test, QA</t>
  </si>
  <si>
    <t>Reunión CMb email</t>
  </si>
  <si>
    <t>CMB: Revisión bugs, corregir y mejorar</t>
  </si>
  <si>
    <t>Hub: hailitar portables by Victor Jaramillo</t>
  </si>
  <si>
    <t>Preparar HU's planning</t>
  </si>
  <si>
    <t>TEST AB POC</t>
  </si>
  <si>
    <t>CMB: Config Hospimed</t>
  </si>
  <si>
    <t>Review</t>
  </si>
  <si>
    <t>Planning</t>
  </si>
  <si>
    <t>HU´s para planning</t>
  </si>
  <si>
    <t>Daily: Shield ; Revisión de correos y tablero</t>
  </si>
  <si>
    <t>Replica Algoritmo de encriptación Sponsor</t>
  </si>
  <si>
    <t>Replica Algoritmo de encriptación Sponsor: Pruebas y fix CS</t>
  </si>
  <si>
    <t>Preparación HU's nuevo Sprint</t>
  </si>
  <si>
    <t>Replica Algoritmo de encriptación Sponsor (Probar acuales en EVA)</t>
  </si>
  <si>
    <t>Replica Algoritmo de encriptación Sponsor (Replicar en Eva)</t>
  </si>
  <si>
    <t>Prework Q4</t>
  </si>
  <si>
    <t>Taller Backlog Health</t>
  </si>
  <si>
    <t>Refinamiento y Reunión Pre-Work</t>
  </si>
  <si>
    <t>Taller análisis técnico CMB</t>
  </si>
  <si>
    <t>Pase Prod OP Ganada</t>
  </si>
  <si>
    <t>Reu team devs: Fix Test AB</t>
  </si>
  <si>
    <t>Reu Juan Pablo &amp; Manuel Guerra: (Mensaje de error sin formato Salegateway)</t>
  </si>
  <si>
    <t>Reu juan Pablo: Revisión algoritmo encriptación Java</t>
  </si>
  <si>
    <t>Reu devs Atómicos: Simular estado de venta CADUCADO u otros</t>
  </si>
  <si>
    <t>Reu Cris Morillo: Revisión Test AB</t>
  </si>
  <si>
    <t>Reu Juan Pablo &amp; Manuel guerra: Test AB Error despliqgue compilación por IDE</t>
  </si>
  <si>
    <t>Reu Juan Pablo &amp; Manuel Guerra: Test AB</t>
  </si>
  <si>
    <t>Reu Alex A.: Config Hub postventa</t>
  </si>
  <si>
    <t>Reu Juan Pablo</t>
  </si>
  <si>
    <t>Reu Juan Pablo: Merge complicado suscripción método customPortal</t>
  </si>
  <si>
    <t>Reu Juan Martín: Primeras pruebas DES test AB</t>
  </si>
  <si>
    <t>Reu Cris Morillo QA</t>
  </si>
  <si>
    <t>Replica Algoritmo de encriptación Sponsor (Preparar ambiente Java y Replica Java)</t>
  </si>
  <si>
    <t>Reu team devs</t>
  </si>
  <si>
    <t>Reu temas devs</t>
  </si>
  <si>
    <t>MessengerService: Control duplicidad CMB</t>
  </si>
  <si>
    <t>MessengerService: Control duplicidad CMB Test, PR y QA</t>
  </si>
  <si>
    <t>MessengerService: Control duplicidad CMB (Fix)</t>
  </si>
  <si>
    <t>POC: Cookie, investigación no funciona desplegado</t>
  </si>
  <si>
    <t>TEST AB, Pruebas Cookie con Front</t>
  </si>
  <si>
    <t>Test AB, refactor seucurity</t>
  </si>
  <si>
    <t>Test AB</t>
  </si>
  <si>
    <t>Test AB, fix Transaction Refernece</t>
  </si>
  <si>
    <t>Test AB, estable con front, PR y QA</t>
  </si>
  <si>
    <t>Test AB, clean code by fix, PR QA</t>
  </si>
  <si>
    <t>Reunión Hub Pruebas con mock</t>
  </si>
  <si>
    <t>CMB: Gain Probar cambios desplegados; Integration fix cache</t>
  </si>
  <si>
    <t>CMB OP ganada, Mejora código creación</t>
  </si>
  <si>
    <t>SaleGateway: Mejora, quitar portal de respuesta offerable</t>
  </si>
  <si>
    <t>CMB: OP ganada Sale</t>
  </si>
  <si>
    <t>CMB gain: Sale: Fix merge conflicts</t>
  </si>
  <si>
    <t>CMB Gain: Sale Close OP en estrategias que no heredan de base, pruebas, PR</t>
  </si>
  <si>
    <t>CMB: Pruebas con Sale, refactor para estrategias</t>
  </si>
  <si>
    <t>CMB gain: pruebas para cada producto</t>
  </si>
  <si>
    <t>Test AB, fix, pruebas</t>
  </si>
  <si>
    <t>Test AB: wiki, listo a QA</t>
  </si>
  <si>
    <t>Luego de merge investigación comportamiento no esperado, fix</t>
  </si>
  <si>
    <t>CMB Gain fix conflict main</t>
  </si>
  <si>
    <t>Salegateway: Reverse, investigación error,Fix  quitar portla de oferable</t>
  </si>
  <si>
    <t>CMB Info, generación de link, add sms y mail para todos los productos, pruebas</t>
  </si>
  <si>
    <t>Hub, ver pasos par aocnfigurar postventa</t>
  </si>
  <si>
    <t>Test 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</si>
</sst>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81">
    <xf numFmtId="0" fontId="0" fillId="0" borderId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6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20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1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46">
    <xf numFmtId="0" fontId="0" fillId="0" borderId="0" xfId="0"/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6" borderId="0" xfId="0" applyFill="1"/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6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1" fillId="0" borderId="0" xfId="0" applyFont="1"/>
    <xf numFmtId="0" fontId="0" fillId="37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5" fillId="4" borderId="24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81">
    <cellStyle name="20% - Énfasis1" xfId="19" xr:uid="{00000000-0005-0000-0000-000000000000}"/>
    <cellStyle name="20% - Énfasis1 2" xfId="58" xr:uid="{00000000-0005-0000-0000-000001000000}"/>
    <cellStyle name="20% - Énfasis2" xfId="23" xr:uid="{00000000-0005-0000-0000-000002000000}"/>
    <cellStyle name="20% - Énfasis2 2" xfId="62" xr:uid="{00000000-0005-0000-0000-000003000000}"/>
    <cellStyle name="20% - Énfasis3" xfId="27" xr:uid="{00000000-0005-0000-0000-000004000000}"/>
    <cellStyle name="20% - Énfasis3 2" xfId="66" xr:uid="{00000000-0005-0000-0000-000005000000}"/>
    <cellStyle name="20% - Énfasis4" xfId="31" xr:uid="{00000000-0005-0000-0000-000006000000}"/>
    <cellStyle name="20% - Énfasis4 2" xfId="70" xr:uid="{00000000-0005-0000-0000-000007000000}"/>
    <cellStyle name="20% - Énfasis5" xfId="35" xr:uid="{00000000-0005-0000-0000-000008000000}"/>
    <cellStyle name="20% - Énfasis5 2" xfId="74" xr:uid="{00000000-0005-0000-0000-000009000000}"/>
    <cellStyle name="20% - Énfasis6" xfId="39" xr:uid="{00000000-0005-0000-0000-00000A000000}"/>
    <cellStyle name="20% - Énfasis6 2" xfId="78" xr:uid="{00000000-0005-0000-0000-00000B000000}"/>
    <cellStyle name="40% - Énfasis1" xfId="20" xr:uid="{00000000-0005-0000-0000-00000C000000}"/>
    <cellStyle name="40% - Énfasis1 2" xfId="59" xr:uid="{00000000-0005-0000-0000-00000D000000}"/>
    <cellStyle name="40% - Énfasis2" xfId="24" xr:uid="{00000000-0005-0000-0000-00000E000000}"/>
    <cellStyle name="40% - Énfasis2 2" xfId="63" xr:uid="{00000000-0005-0000-0000-00000F000000}"/>
    <cellStyle name="40% - Énfasis3" xfId="28" xr:uid="{00000000-0005-0000-0000-000010000000}"/>
    <cellStyle name="40% - Énfasis3 2" xfId="67" xr:uid="{00000000-0005-0000-0000-000011000000}"/>
    <cellStyle name="40% - Énfasis4" xfId="32" xr:uid="{00000000-0005-0000-0000-000012000000}"/>
    <cellStyle name="40% - Énfasis4 2" xfId="71" xr:uid="{00000000-0005-0000-0000-000013000000}"/>
    <cellStyle name="40% - Énfasis5" xfId="36" xr:uid="{00000000-0005-0000-0000-000014000000}"/>
    <cellStyle name="40% - Énfasis5 2" xfId="75" xr:uid="{00000000-0005-0000-0000-000015000000}"/>
    <cellStyle name="40% - Énfasis6" xfId="40" xr:uid="{00000000-0005-0000-0000-000016000000}"/>
    <cellStyle name="40% - Énfasis6 2" xfId="79" xr:uid="{00000000-0005-0000-0000-000017000000}"/>
    <cellStyle name="60% - Énfasis1" xfId="21" xr:uid="{00000000-0005-0000-0000-000018000000}"/>
    <cellStyle name="60% - Énfasis1 2" xfId="60" xr:uid="{00000000-0005-0000-0000-000019000000}"/>
    <cellStyle name="60% - Énfasis2" xfId="25" xr:uid="{00000000-0005-0000-0000-00001A000000}"/>
    <cellStyle name="60% - Énfasis2 2" xfId="64" xr:uid="{00000000-0005-0000-0000-00001B000000}"/>
    <cellStyle name="60% - Énfasis3" xfId="29" xr:uid="{00000000-0005-0000-0000-00001C000000}"/>
    <cellStyle name="60% - Énfasis3 2" xfId="68" xr:uid="{00000000-0005-0000-0000-00001D000000}"/>
    <cellStyle name="60% - Énfasis4" xfId="33" xr:uid="{00000000-0005-0000-0000-00001E000000}"/>
    <cellStyle name="60% - Énfasis4 2" xfId="72" xr:uid="{00000000-0005-0000-0000-00001F000000}"/>
    <cellStyle name="60% - Énfasis5" xfId="37" xr:uid="{00000000-0005-0000-0000-000020000000}"/>
    <cellStyle name="60% - Énfasis5 2" xfId="76" xr:uid="{00000000-0005-0000-0000-000021000000}"/>
    <cellStyle name="60% - Énfasis6" xfId="41" xr:uid="{00000000-0005-0000-0000-000022000000}"/>
    <cellStyle name="60% - Énfasis6 2" xfId="80" xr:uid="{00000000-0005-0000-0000-000023000000}"/>
    <cellStyle name="Bueno" xfId="6" xr:uid="{00000000-0005-0000-0000-000024000000}"/>
    <cellStyle name="Bueno 2" xfId="47" xr:uid="{00000000-0005-0000-0000-000025000000}"/>
    <cellStyle name="Cálculo" xfId="11" xr:uid="{00000000-0005-0000-0000-000026000000}"/>
    <cellStyle name="Cálculo 2" xfId="51" xr:uid="{00000000-0005-0000-0000-000027000000}"/>
    <cellStyle name="Celda de comprobación" xfId="13" xr:uid="{00000000-0005-0000-0000-000028000000}"/>
    <cellStyle name="Celda de comprobación 2" xfId="53" xr:uid="{00000000-0005-0000-0000-000029000000}"/>
    <cellStyle name="Celda vinculada" xfId="12" xr:uid="{00000000-0005-0000-0000-00002A000000}"/>
    <cellStyle name="Celda vinculada 2" xfId="52" xr:uid="{00000000-0005-0000-0000-00002B000000}"/>
    <cellStyle name="Encabezado 1" xfId="2" xr:uid="{00000000-0005-0000-0000-00002C000000}"/>
    <cellStyle name="Encabezado 1 2" xfId="43" xr:uid="{00000000-0005-0000-0000-00002D000000}"/>
    <cellStyle name="Encabezado 4" xfId="5" xr:uid="{00000000-0005-0000-0000-00002E000000}"/>
    <cellStyle name="Encabezado 4 2" xfId="46" xr:uid="{00000000-0005-0000-0000-00002F000000}"/>
    <cellStyle name="Énfasis1" xfId="18" xr:uid="{00000000-0005-0000-0000-000030000000}"/>
    <cellStyle name="Énfasis1 2" xfId="57" xr:uid="{00000000-0005-0000-0000-000031000000}"/>
    <cellStyle name="Énfasis2" xfId="22" xr:uid="{00000000-0005-0000-0000-000032000000}"/>
    <cellStyle name="Énfasis2 2" xfId="61" xr:uid="{00000000-0005-0000-0000-000033000000}"/>
    <cellStyle name="Énfasis3" xfId="26" xr:uid="{00000000-0005-0000-0000-000034000000}"/>
    <cellStyle name="Énfasis3 2" xfId="65" xr:uid="{00000000-0005-0000-0000-000035000000}"/>
    <cellStyle name="Énfasis4" xfId="30" xr:uid="{00000000-0005-0000-0000-000036000000}"/>
    <cellStyle name="Énfasis4 2" xfId="69" xr:uid="{00000000-0005-0000-0000-000037000000}"/>
    <cellStyle name="Énfasis5" xfId="34" xr:uid="{00000000-0005-0000-0000-000038000000}"/>
    <cellStyle name="Énfasis5 2" xfId="73" xr:uid="{00000000-0005-0000-0000-000039000000}"/>
    <cellStyle name="Énfasis6" xfId="38" xr:uid="{00000000-0005-0000-0000-00003A000000}"/>
    <cellStyle name="Énfasis6 2" xfId="77" xr:uid="{00000000-0005-0000-0000-00003B000000}"/>
    <cellStyle name="Entrada" xfId="9" xr:uid="{00000000-0005-0000-0000-00003C000000}"/>
    <cellStyle name="Entrada 2" xfId="49" xr:uid="{00000000-0005-0000-0000-00003D000000}"/>
    <cellStyle name="Incorrecto" xfId="7" xr:uid="{00000000-0005-0000-0000-00003E000000}"/>
    <cellStyle name="Incorrecto 2" xfId="48" xr:uid="{00000000-0005-0000-0000-00003F000000}"/>
    <cellStyle name="Neutral" xfId="8" builtinId="28" customBuiltin="1"/>
    <cellStyle name="Normal" xfId="0" builtinId="0"/>
    <cellStyle name="Notas" xfId="15" xr:uid="{00000000-0005-0000-0000-000042000000}"/>
    <cellStyle name="Notas 2" xfId="55" xr:uid="{00000000-0005-0000-0000-000043000000}"/>
    <cellStyle name="Salida" xfId="10" xr:uid="{00000000-0005-0000-0000-000044000000}"/>
    <cellStyle name="Salida 2" xfId="50" xr:uid="{00000000-0005-0000-0000-000045000000}"/>
    <cellStyle name="Texto de advertencia" xfId="14" xr:uid="{00000000-0005-0000-0000-000046000000}"/>
    <cellStyle name="Texto de advertencia 2" xfId="54" xr:uid="{00000000-0005-0000-0000-000047000000}"/>
    <cellStyle name="Texto explicativo" xfId="16" xr:uid="{00000000-0005-0000-0000-000048000000}"/>
    <cellStyle name="Texto explicativo 2" xfId="56" xr:uid="{00000000-0005-0000-0000-000049000000}"/>
    <cellStyle name="Título" xfId="1" xr:uid="{00000000-0005-0000-0000-00004A000000}"/>
    <cellStyle name="Título 2" xfId="3" xr:uid="{00000000-0005-0000-0000-00004B000000}"/>
    <cellStyle name="Título 2 2" xfId="44" xr:uid="{00000000-0005-0000-0000-00004C000000}"/>
    <cellStyle name="Título 3" xfId="4" xr:uid="{00000000-0005-0000-0000-00004D000000}"/>
    <cellStyle name="Título 3 2" xfId="45" xr:uid="{00000000-0005-0000-0000-00004E000000}"/>
    <cellStyle name="Título 4" xfId="42" xr:uid="{00000000-0005-0000-0000-00004F00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231775</xdr:colOff>
      <xdr:row>0</xdr:row>
      <xdr:rowOff>38100</xdr:rowOff>
    </xdr:from>
    <xdr:to>
      <xdr:col>1</xdr:col>
      <xdr:colOff>897890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C76CC-D4E4-46C8-B4FA-D0EE478E65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38100"/>
          <a:ext cx="1246505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ya Cruz David Alexander" refreshedDate="45932.681016435185" createdVersion="8" refreshedVersion="8" minRefreshableVersion="3" recordCount="102" xr:uid="{0773E753-E363-4BA9-825C-E61849822E6E}">
  <cacheSource type="worksheet">
    <worksheetSource ref="A8:F110" sheet="Detalle"/>
  </cacheSource>
  <cacheFields count="6">
    <cacheField name="#" numFmtId="0">
      <sharedItems containsSemiMixedTypes="0" containsString="0" containsNumber="1" containsInteger="1" minValue="1" maxValue="102"/>
    </cacheField>
    <cacheField name="Proyecto, Requerimiento" numFmtId="0">
      <sharedItems/>
    </cacheField>
    <cacheField name="Actividad" numFmtId="0">
      <sharedItems/>
    </cacheField>
    <cacheField name="Fecha" numFmtId="14">
      <sharedItems containsSemiMixedTypes="0" containsNonDate="0" containsDate="1" containsString="0" minDate="1900-01-24T00:00:00" maxDate="2025-10-01T00:00:00" count="763"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09-14T00:00:00" u="1"/>
        <d v="2025-08-01T00:00:00" u="1"/>
        <d v="2025-08-04T00:00:00" u="1"/>
        <d v="2025-08-05T00:00:00" u="1"/>
        <d v="2025-08-06T00:00:00" u="1"/>
        <d v="2025-08-07T00:00:00" u="1"/>
        <d v="2025-08-08T00:00:00" u="1"/>
        <d v="2025-08-12T00:00:00" u="1"/>
        <d v="2025-08-13T00:00:00" u="1"/>
        <d v="2025-08-14T00:00:00" u="1"/>
        <d v="2025-08-15T00:00:00" u="1"/>
        <d v="2025-08-18T00:00:00" u="1"/>
        <d v="2025-08-19T00:00:00" u="1"/>
        <d v="2025-08-20T00:00:00" u="1"/>
        <d v="2025-08-21T00:00:00" u="1"/>
        <d v="2025-08-22T00:00:00" u="1"/>
        <d v="2025-08-25T00:00:00" u="1"/>
        <d v="2025-08-26T00:00:00" u="1"/>
        <d v="2025-08-27T00:00:00" u="1"/>
        <d v="2025-08-28T00:00:00" u="1"/>
        <d v="2025-08-29T00:00:00" u="1"/>
        <d v="2025-08-03T00:00:00" u="1"/>
        <d v="2025-07-01T00:00:00" u="1"/>
        <d v="2025-07-02T00:00:00" u="1"/>
        <d v="2025-07-03T00:00:00" u="1"/>
        <d v="2025-07-04T00:00:00" u="1"/>
        <d v="2025-07-07T00:00:00" u="1"/>
        <d v="2025-07-08T00:00:00" u="1"/>
        <d v="2025-07-09T00:00:00" u="1"/>
        <d v="2025-07-10T00:00:00" u="1"/>
        <d v="2025-07-11T00:00:00" u="1"/>
        <d v="2025-07-14T00:00:00" u="1"/>
        <d v="2025-07-15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6-02T00:00:00" u="1"/>
        <d v="2025-06-03T00:00:00" u="1"/>
        <d v="2025-06-04T00:00:00" u="1"/>
        <d v="2025-06-05T00:00:00" u="1"/>
        <d v="2025-06-06T00:00:00" u="1"/>
        <d v="2025-06-09T00:00:00" u="1"/>
        <d v="2025-06-10T00:00:00" u="1"/>
        <d v="2025-06-11T00:00:00" u="1"/>
        <d v="2025-06-12T00:00:00" u="1"/>
        <d v="2025-06-13T00:00:00" u="1"/>
        <d v="2025-06-16T00:00:00" u="1"/>
        <d v="2025-06-17T00:00:00" u="1"/>
        <d v="2025-06-18T00:00:00" u="1"/>
        <d v="2025-06-19T00:00:00" u="1"/>
        <d v="2025-06-20T00:00:00" u="1"/>
        <d v="2025-06-23T00:00:00" u="1"/>
        <d v="2025-06-24T00:00:00" u="1"/>
        <d v="2025-06-25T00:00:00" u="1"/>
        <d v="2025-06-26T00:00:00" u="1"/>
        <d v="2025-06-27T00:00:00" u="1"/>
        <d v="2025-06-30T00:00:00" u="1"/>
        <d v="2025-05-01T00:00:00" u="1"/>
        <d v="2025-05-05T00:00:00" u="1"/>
        <d v="2025-05-06T00:00:00" u="1"/>
        <d v="2025-05-07T00:00:00" u="1"/>
        <d v="2025-05-08T00:00:00" u="1"/>
        <d v="2025-05-09T00:00:00" u="1"/>
        <d v="2025-05-12T00:00:00" u="1"/>
        <d v="2025-05-13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5-02T00:00:00" u="1"/>
        <d v="2025-04-03T00:00:00" u="1"/>
        <d v="2025-04-04T00:00:00" u="1"/>
        <d v="2025-04-07T00:00:00" u="1"/>
        <d v="2025-04-08T00:00:00" u="1"/>
        <d v="2025-04-09T00:00:00" u="1"/>
        <d v="2025-04-10T00:00:00" u="1"/>
        <d v="2025-04-11T00:00:00" u="1"/>
        <d v="2025-04-14T00:00:00" u="1"/>
        <d v="2025-04-15T00:00:00" u="1"/>
        <d v="2025-04-16T00:00:00" u="1"/>
        <d v="2025-04-17T00:00:00" u="1"/>
        <d v="2025-04-21T00:00:00" u="1"/>
        <d v="2025-04-22T00:00:00" u="1"/>
        <d v="2025-04-23T00:00:00" u="1"/>
        <d v="2025-04-24T00:00:00" u="1"/>
        <d v="2025-04-25T00:00:00" u="1"/>
        <d v="2025-04-28T00:00:00" u="1"/>
        <d v="2025-04-29T00:00:00" u="1"/>
        <d v="2025-04-30T00:00:00" u="1"/>
        <d v="2025-04-01T00:00:00" u="1"/>
        <d v="2025-04-02T00:00:00" u="1"/>
        <d v="2025-01-01T00:00:00" u="1"/>
        <d v="2025-01-02T00:00:00" u="1"/>
        <d v="2025-01-03T00:00:00" u="1"/>
        <d v="2025-01-04T00:00:00" u="1"/>
        <d v="2025-03-05T00:00:00" u="1"/>
        <d v="2025-03-06T00:00:00" u="1"/>
        <d v="2025-03-07T00:00:00" u="1"/>
        <d v="2025-03-10T00:00:00" u="1"/>
        <d v="2025-03-11T00:00:00" u="1"/>
        <d v="2025-03-12T00:00:00" u="1"/>
        <d v="2025-03-13T00:00:00" u="1"/>
        <d v="2025-03-14T00:00:00" u="1"/>
        <d v="2025-03-17T00:00:00" u="1"/>
        <d v="2025-03-18T00:00:00" u="1"/>
        <d v="2025-03-19T00:00:00" u="1"/>
        <d v="2025-03-20T00:00:00" u="1"/>
        <d v="2025-03-21T00:00:00" u="1"/>
        <d v="2025-03-24T00:00:00" u="1"/>
        <d v="2025-03-25T00:00:00" u="1"/>
        <d v="2025-03-26T00:00:00" u="1"/>
        <d v="2025-03-27T00:00:00" u="1"/>
        <d v="2025-03-28T00:00:00" u="1"/>
        <d v="2025-03-31T00:00:00" u="1"/>
        <d v="2025-05-03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1900-01-24T00:00:00" u="1"/>
        <d v="1900-01-25T00:00:00" u="1"/>
        <d v="1900-01-26T00:00:00" u="1"/>
        <d v="1900-01-27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27T00:00:00" u="1"/>
        <d v="2025-01-28T00:00:00" u="1"/>
        <d v="2025-01-29T00:00:00" u="1"/>
        <d v="2025-01-30T00:00:00" u="1"/>
        <d v="2025-01-31T00:00:00" u="1"/>
        <d v="2024-12-02T00:00:00" u="1"/>
        <d v="2024-12-03T00:00:00" u="1"/>
        <d v="2024-12-04T00:00:00" u="1"/>
        <d v="2024-12-05T00:00:00" u="1"/>
        <d v="2024-12-09T00:00:00" u="1"/>
        <d v="2024-12-10T00:00:00" u="1"/>
        <d v="2024-12-11T00:00:00" u="1"/>
        <d v="2024-12-12T00:00:00" u="1"/>
        <d v="2024-12-13T00:00:00" u="1"/>
        <d v="2024-12-16T00:00:00" u="1"/>
        <d v="2024-12-17T00:00:00" u="1"/>
        <d v="2024-12-18T00:00:00" u="1"/>
        <d v="2024-12-19T00:00:00" u="1"/>
        <d v="2024-12-20T00:00:00" u="1"/>
        <d v="2024-12-23T00:00:00" u="1"/>
        <d v="2024-12-24T00:00:00" u="1"/>
        <d v="2024-12-26T00:00:00" u="1"/>
        <d v="2024-12-27T00:00:00" u="1"/>
        <d v="2024-12-30T00:00:00" u="1"/>
        <d v="2024-12-31T00:00:00" u="1"/>
        <d v="2024-12-25T00:00:00" u="1"/>
        <d v="2024-11-05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5T00:00:00" u="1"/>
        <d v="2024-11-18T00:00:00" u="1"/>
        <d v="2024-11-19T00:00:00" u="1"/>
        <d v="2024-11-20T00:00:00" u="1"/>
        <d v="2024-11-21T00:00:00" u="1"/>
        <d v="2024-11-22T00:00:00" u="1"/>
        <d v="2024-11-25T00:00:00" u="1"/>
        <d v="2024-11-26T00:00:00" u="1"/>
        <d v="2024-11-27T00:00:00" u="1"/>
        <d v="2024-11-28T00:00:00" u="1"/>
        <d v="2024-11-29T00:00:00" u="1"/>
        <d v="2024-10-07T00:00:00" u="1"/>
        <d v="2024-10-08T00:00:00" u="1"/>
        <d v="2024-10-09T00:00:00" u="1"/>
        <d v="2024-10-10T00:00:00" u="1"/>
        <d v="2024-10-14T00:00:00" u="1"/>
        <d v="2024-10-15T00:00:00" u="1"/>
        <d v="2024-10-16T00:00:00" u="1"/>
        <d v="2024-10-17T00:00:00" u="1"/>
        <d v="2024-10-18T00:00:00" u="1"/>
        <d v="2024-10-21T00:00:00" u="1"/>
        <d v="2024-10-22T00:00:00" u="1"/>
        <d v="2024-10-23T00:00:00" u="1"/>
        <d v="2024-10-24T00:00:00" u="1"/>
        <d v="2024-10-25T00:00:00" u="1"/>
        <d v="2024-10-28T00:00:00" u="1"/>
        <d v="2024-10-29T00:00:00" u="1"/>
        <d v="2024-10-30T00:00:00" u="1"/>
        <d v="2024-10-31T00:00:00" u="1"/>
        <d v="2024-10-01T00:00:00" u="1"/>
        <d v="2024-10-02T00:00:00" u="1"/>
        <d v="2024-10-03T00:00:00" u="1"/>
        <d v="2024-10-04T00:00:00" u="1"/>
        <d v="2024-09-02T00:00:00" u="1"/>
        <d v="2024-09-03T00:00:00" u="1"/>
        <d v="2024-09-04T00:00:00" u="1"/>
        <d v="2024-09-05T00:00:00" u="1"/>
        <d v="2024-09-06T00:00:00" u="1"/>
        <d v="2024-09-09T00:00:00" u="1"/>
        <d v="2024-09-10T00:00:00" u="1"/>
        <d v="2024-09-11T00:00:00" u="1"/>
        <d v="2024-09-12T00:00:00" u="1"/>
        <d v="2024-09-13T00:00:00" u="1"/>
        <d v="2024-09-16T00:00:00" u="1"/>
        <d v="2024-09-17T00:00:00" u="1"/>
        <d v="2024-09-18T00:00:00" u="1"/>
        <d v="2024-09-19T00:00:00" u="1"/>
        <d v="2024-09-20T00:00:00" u="1"/>
        <d v="2024-09-23T00:00:00" u="1"/>
        <d v="2024-09-24T00:00:00" u="1"/>
        <d v="2024-09-25T00:00:00" u="1"/>
        <d v="2024-09-26T00:00:00" u="1"/>
        <d v="2024-09-27T00:00:00" u="1"/>
        <d v="2024-09-30T00:00:00" u="1"/>
        <d v="2024-09-01T00:00:00" u="1"/>
        <d v="2024-09-21T00:00:00" u="1"/>
        <d v="2024-09-22T00:00:00" u="1"/>
        <d v="2024-09-28T00:00:00" u="1"/>
        <d v="2024-09-29T00:00:00" u="1"/>
        <d v="2024-10-05T00:00:00" u="1"/>
        <d v="2024-10-06T00:00:00" u="1"/>
        <d v="2024-10-11T00:00:00" u="1"/>
        <d v="2024-10-12T00:00:00" u="1"/>
        <d v="2024-10-13T00:00:00" u="1"/>
        <d v="2024-10-19T00:00:00" u="1"/>
        <d v="2024-10-20T00:00:00" u="1"/>
        <d v="2024-10-26T00:00:00" u="1"/>
        <d v="2024-10-27T00:00:00" u="1"/>
        <d v="2024-11-01T00:00:00" u="1"/>
        <d v="2024-11-02T00:00:00" u="1"/>
        <d v="2024-11-03T00:00:00" u="1"/>
        <d v="2024-11-04T00:00:00" u="1"/>
        <d v="2024-11-09T00:00:00" u="1"/>
        <d v="2024-11-10T00:00:00" u="1"/>
        <d v="2024-11-16T00:00:00" u="1"/>
        <d v="2024-11-17T00:00:00" u="1"/>
        <d v="2024-08-01T00:00:00" u="1"/>
        <d v="2024-08-02T00:00:00" u="1"/>
        <d v="2024-08-05T00:00:00" u="1"/>
        <d v="2024-08-06T00:00:00" u="1"/>
        <d v="2024-08-07T00:00:00" u="1"/>
        <d v="2024-08-08T00:00:00" u="1"/>
        <d v="2024-08-12T00:00:00" u="1"/>
        <d v="2024-08-13T00:00:00" u="1"/>
        <d v="2024-08-14T00:00:00" u="1"/>
        <d v="2024-08-15T00:00:00" u="1"/>
        <d v="2024-08-16T00:00:00" u="1"/>
        <d v="2024-08-19T00:00:00" u="1"/>
        <d v="2024-08-20T00:00:00" u="1"/>
        <d v="2024-08-21T00:00:00" u="1"/>
        <d v="2024-08-22T00:00:00" u="1"/>
        <d v="2024-08-23T00:00:00" u="1"/>
        <d v="2024-08-26T00:00:00" u="1"/>
        <d v="2024-08-27T00:00:00" u="1"/>
        <d v="2024-08-28T00:00:00" u="1"/>
        <d v="2024-08-29T00:00:00" u="1"/>
        <d v="2024-08-30T00:00:00" u="1"/>
        <d v="2024-08-09T00:00:00" u="1"/>
        <d v="2024-08-03T00:00:00" u="1"/>
        <d v="2024-08-10T00:00:00" u="1"/>
        <d v="2024-08-11T00:00:00" u="1"/>
        <d v="2024-07-01T00:00:00" u="1"/>
        <d v="2024-07-02T00:00:00" u="1"/>
        <d v="2024-07-03T00:00:00" u="1"/>
        <d v="2024-07-04T00:00:00" u="1"/>
        <d v="2024-07-05T00:00:00" u="1"/>
        <d v="2024-07-08T00:00:00" u="1"/>
        <d v="2024-07-09T00:00:00" u="1"/>
        <d v="2024-07-10T00:00:00" u="1"/>
        <d v="2024-07-11T00:00:00" u="1"/>
        <d v="2024-07-12T00:00:00" u="1"/>
        <d v="2024-07-15T00:00:00" u="1"/>
        <d v="2024-07-16T00:00:00" u="1"/>
        <d v="2024-07-17T00:00:00" u="1"/>
        <d v="2024-07-18T00:00:00" u="1"/>
        <d v="2024-07-19T00:00:00" u="1"/>
        <d v="2024-07-22T00:00:00" u="1"/>
        <d v="2024-07-23T00:00:00" u="1"/>
        <d v="2024-07-24T00:00:00" u="1"/>
        <d v="2024-07-25T00:00:00" u="1"/>
        <d v="2024-07-26T00:00:00" u="1"/>
        <d v="2024-07-29T00:00:00" u="1"/>
        <d v="2024-07-30T00:00:00" u="1"/>
        <d v="2024-07-31T00:00:00" u="1"/>
        <d v="2024-06-03T00:00:00" u="1"/>
        <d v="2024-06-04T00:00:00" u="1"/>
        <d v="2024-06-05T00:00:00" u="1"/>
        <d v="2024-06-06T00:00:00" u="1"/>
        <d v="2024-06-07T00:00:00" u="1"/>
        <d v="2024-06-10T00:00:00" u="1"/>
        <d v="2024-06-11T00:00:00" u="1"/>
        <d v="2024-06-12T00:00:00" u="1"/>
        <d v="2024-06-13T00:00:00" u="1"/>
        <d v="2024-06-14T00:00:00" u="1"/>
        <d v="2024-06-17T00:00:00" u="1"/>
        <d v="2024-06-18T00:00:00" u="1"/>
        <d v="2024-06-19T00:00:00" u="1"/>
        <d v="2024-06-20T00:00:00" u="1"/>
        <d v="2024-06-21T00:00:00" u="1"/>
        <d v="2024-06-24T00:00:00" u="1"/>
        <d v="2024-06-25T00:00:00" u="1"/>
        <d v="2024-06-26T00:00:00" u="1"/>
        <d v="2024-06-27T00:00:00" u="1"/>
        <d v="2024-06-28T00:00:00" u="1"/>
        <d v="2024-05-01T00:00:00" u="1"/>
        <d v="2024-05-02T00:00:00" u="1"/>
        <d v="2024-05-06T00:00:00" u="1"/>
        <d v="2024-05-07T00:00:00" u="1"/>
        <d v="2024-05-08T00:00:00" u="1"/>
        <d v="2024-05-09T00:00:00" u="1"/>
        <d v="2024-05-10T00:00:00" u="1"/>
        <d v="2024-05-13T00:00:00" u="1"/>
        <d v="2024-05-14T00:00:00" u="1"/>
        <d v="2024-05-15T00:00:00" u="1"/>
        <d v="2024-05-16T00:00:00" u="1"/>
        <d v="2024-05-17T00:00:00" u="1"/>
        <d v="2024-05-20T00:00:00" u="1"/>
        <d v="2024-05-21T00:00:00" u="1"/>
        <d v="2024-05-22T00:00:00" u="1"/>
        <d v="2024-05-23T00:00:00" u="1"/>
        <d v="2024-05-27T00:00:00" u="1"/>
        <d v="2024-05-28T00:00:00" u="1"/>
        <d v="2024-05-29T00:00:00" u="1"/>
        <d v="2024-05-30T00:00:00" u="1"/>
        <d v="2024-05-31T00:00:00" u="1"/>
        <d v="2024-05-03T00:00:00" u="1"/>
        <d v="2024-05-24T00:00:00" u="1"/>
        <d v="2024-04-01T00:00:00" u="1"/>
        <d v="2024-04-02T00:00:00" u="1"/>
        <d v="2024-04-03T00:00:00" u="1"/>
        <d v="2024-04-04T00:00:00" u="1"/>
        <d v="2024-04-05T00:00:00" u="1"/>
        <d v="2024-04-08T00:00:00" u="1"/>
        <d v="2024-04-09T00:00:00" u="1"/>
        <d v="2024-04-10T00:00:00" u="1"/>
        <d v="2024-04-11T00:00:00" u="1"/>
        <d v="2024-04-12T00:00:00" u="1"/>
        <d v="2024-04-15T00:00:00" u="1"/>
        <d v="2024-04-16T00:00:00" u="1"/>
        <d v="2024-04-17T00:00:00" u="1"/>
        <d v="2024-04-18T00:00:00" u="1"/>
        <d v="2024-04-19T00:00:00" u="1"/>
        <d v="2024-04-22T00:00:00" u="1"/>
        <d v="2024-04-23T00:00:00" u="1"/>
        <d v="2024-04-24T00:00:00" u="1"/>
        <d v="2024-04-25T00:00:00" u="1"/>
        <d v="2024-04-26T00:00:00" u="1"/>
        <d v="2024-04-29T00:00:00" u="1"/>
        <d v="2024-03-01T00:00:00" u="1"/>
        <d v="2024-03-04T00:00:00" u="1"/>
        <d v="2024-03-05T00:00:00" u="1"/>
        <d v="2024-03-06T00:00:00" u="1"/>
        <d v="2024-03-07T00:00:00" u="1"/>
        <d v="2024-03-08T00:00:00" u="1"/>
        <d v="2024-03-11T00:00:00" u="1"/>
        <d v="2024-03-12T00:00:00" u="1"/>
        <d v="2024-03-13T00:00:00" u="1"/>
        <d v="2024-03-14T00:00:00" u="1"/>
        <d v="2024-03-15T00:00:00" u="1"/>
        <d v="2024-03-18T00:00:00" u="1"/>
        <d v="2024-03-19T00:00:00" u="1"/>
        <d v="2024-03-20T00:00:00" u="1"/>
        <d v="2024-03-21T00:00:00" u="1"/>
        <d v="2024-03-22T00:00:00" u="1"/>
        <d v="2024-03-25T00:00:00" u="1"/>
        <d v="2024-03-26T00:00:00" u="1"/>
        <d v="2024-03-27T00:00:00" u="1"/>
        <d v="2024-03-28T00:00:00" u="1"/>
        <d v="2024-02-01T00:00:00" u="1"/>
        <d v="2024-02-02T00:00:00" u="1"/>
        <d v="2024-02-05T00:00:00" u="1"/>
        <d v="2024-02-06T00:00:00" u="1"/>
        <d v="2024-02-08T00:00:00" u="1"/>
        <d v="2024-02-09T00:00:00" u="1"/>
        <d v="2024-02-14T00:00:00" u="1"/>
        <d v="2024-02-15T00:00:00" u="1"/>
        <d v="2024-02-16T00:00:00" u="1"/>
        <d v="2024-02-19T00:00:00" u="1"/>
        <d v="2024-02-20T00:00:00" u="1"/>
        <d v="2024-02-21T00:00:00" u="1"/>
        <d v="2024-02-22T00:00:00" u="1"/>
        <d v="2024-02-23T00:00:00" u="1"/>
        <d v="2024-02-27T00:00:00" u="1"/>
        <d v="2024-02-28T00:00:00" u="1"/>
        <d v="2024-02-29T00:00:00" u="1"/>
        <d v="2024-01-02T00:00:00" u="1"/>
        <d v="2024-01-03T00:00:00" u="1"/>
        <d v="2024-01-04T00:00:00" u="1"/>
        <d v="2024-01-05T00:00:00" u="1"/>
        <d v="2024-01-08T00:00:00" u="1"/>
        <d v="2024-01-09T00:00:00" u="1"/>
        <d v="2024-01-10T00:00:00" u="1"/>
        <d v="2024-01-11T00:00:00" u="1"/>
        <d v="2024-01-12T00:00:00" u="1"/>
        <d v="2024-01-15T00:00:00" u="1"/>
        <d v="2024-01-16T00:00:00" u="1"/>
        <d v="2024-01-17T00:00:00" u="1"/>
        <d v="2024-01-18T00:00:00" u="1"/>
        <d v="2024-01-19T00:00:00" u="1"/>
        <d v="2024-01-22T00:00:00" u="1"/>
        <d v="2024-01-23T00:00:00" u="1"/>
        <d v="2024-01-24T00:00:00" u="1"/>
        <d v="2024-01-25T00:00:00" u="1"/>
        <d v="2024-01-26T00:00:00" u="1"/>
        <d v="2024-01-29T00:00:00" u="1"/>
        <d v="2024-01-30T00:00:00" u="1"/>
        <d v="2024-01-31T00:00:00" u="1"/>
        <d v="2023-12-01T00:00:00" u="1"/>
        <d v="2023-12-04T00:00:00" u="1"/>
        <d v="2023-12-05T00:00:00" u="1"/>
        <d v="2023-12-06T00:00:00" u="1"/>
        <d v="2023-12-07T00:00:00" u="1"/>
        <d v="2023-12-11T00:00:00" u="1"/>
        <d v="2023-12-12T00:00:00" u="1"/>
        <d v="2023-12-13T00:00:00" u="1"/>
        <d v="2023-12-14T00:00:00" u="1"/>
        <d v="2023-12-15T00:00:00" u="1"/>
        <d v="2023-12-18T00:00:00" u="1"/>
        <d v="2023-12-19T00:00:00" u="1"/>
        <d v="2023-12-20T00:00:00" u="1"/>
        <d v="2023-12-21T00:00:00" u="1"/>
        <d v="2023-12-22T00:00:00" u="1"/>
        <d v="2023-12-26T00:00:00" u="1"/>
        <d v="2023-12-27T00:00:00" u="1"/>
        <d v="2023-12-28T00:00:00" u="1"/>
        <d v="2023-12-29T00:00:00" u="1"/>
        <d v="2023-10-02T00:00:00" u="1"/>
        <d v="2023-10-03T00:00:00" u="1"/>
        <d v="2023-10-04T00:00:00" u="1"/>
        <d v="2023-10-05T00:00:00" u="1"/>
        <d v="2023-10-06T00:00:00" u="1"/>
        <d v="2023-10-10T00:00:00" u="1"/>
        <d v="2023-10-11T00:00:00" u="1"/>
        <d v="2023-10-12T00:00:00" u="1"/>
        <d v="2023-10-13T00:00:00" u="1"/>
        <d v="2023-10-16T00:00:00" u="1"/>
        <d v="2023-10-17T00:00:00" u="1"/>
        <d v="2023-10-18T00:00:00" u="1"/>
        <d v="2023-10-20T00:00:00" u="1"/>
        <d v="2023-10-23T00:00:00" u="1"/>
        <d v="2023-10-24T00:00:00" u="1"/>
        <d v="2023-10-25T00:00:00" u="1"/>
        <d v="2023-10-26T00:00:00" u="1"/>
        <d v="2023-10-27T00:00:00" u="1"/>
        <d v="2023-10-30T00:00:00" u="1"/>
        <d v="2023-10-31T00:00:00" u="1"/>
        <d v="2023-09-01T00:00:00" u="1"/>
        <d v="2023-09-04T00:00:00" u="1"/>
        <d v="2023-09-05T00:00:00" u="1"/>
        <d v="2023-09-06T00:00:00" u="1"/>
        <d v="2023-09-07T00:00:00" u="1"/>
        <d v="2023-09-08T00:00:00" u="1"/>
        <d v="2023-09-11T00:00:00" u="1"/>
        <d v="2023-09-12T00:00:00" u="1"/>
        <d v="2023-09-13T00:00:00" u="1"/>
        <d v="2023-09-14T00:00:00" u="1"/>
        <d v="2023-09-15T00:00:00" u="1"/>
        <d v="2023-09-18T00:00:00" u="1"/>
        <d v="2023-09-19T00:00:00" u="1"/>
        <d v="2023-09-20T00:00:00" u="1"/>
        <d v="2023-09-21T00:00:00" u="1"/>
        <d v="2023-09-22T00:00:00" u="1"/>
        <d v="2023-09-25T00:00:00" u="1"/>
        <d v="2023-09-26T00:00:00" u="1"/>
        <d v="2023-09-27T00:00:00" u="1"/>
        <d v="2023-09-28T00:00:00" u="1"/>
        <d v="2023-09-29T00:00:00" u="1"/>
        <d v="2023-08-01T00:00:00" u="1"/>
        <d v="2023-08-02T00:00:00" u="1"/>
        <d v="2023-08-03T00:00:00" u="1"/>
        <d v="2023-08-04T00:00:00" u="1"/>
        <d v="2023-08-07T00:00:00" u="1"/>
        <d v="2023-08-08T00:00:00" u="1"/>
        <d v="2023-08-09T00:00:00" u="1"/>
        <d v="2023-08-10T00:00:00" u="1"/>
        <d v="2023-08-14T00:00:00" u="1"/>
        <d v="2023-08-15T00:00:00" u="1"/>
        <d v="2023-08-16T00:00:00" u="1"/>
        <d v="2023-08-17T00:00:00" u="1"/>
        <d v="2023-08-18T00:00:00" u="1"/>
        <d v="2023-08-21T00:00:00" u="1"/>
        <d v="2023-08-22T00:00:00" u="1"/>
        <d v="2023-08-23T00:00:00" u="1"/>
        <d v="2023-08-24T00:00:00" u="1"/>
        <d v="2023-08-25T00:00:00" u="1"/>
        <d v="2023-08-28T00:00:00" u="1"/>
        <d v="2023-08-29T00:00:00" u="1"/>
        <d v="2023-08-30T00:00:00" u="1"/>
        <d v="2023-08-31T00:00:00" u="1"/>
        <d v="2022-02-23T00:00:00" u="1"/>
        <d v="2022-11-18T00:00:00" u="1"/>
        <d v="2023-01-18T00:00:00" u="1"/>
        <d v="2023-03-09T00:00:00" u="1"/>
        <d v="2022-12-23T00:00:00" u="1"/>
        <d v="2023-04-14T00:00:00" u="1"/>
        <d v="2023-06-05T00:00:00" u="1"/>
        <d v="2022-08-15T00:00:00" u="1"/>
        <d v="2023-03-28T00:00:00" u="1"/>
        <d v="2023-05-19T00:00:00" u="1"/>
        <d v="2023-07-10T00:00:00" u="1"/>
        <d v="2022-11-11T00:00:00" u="1"/>
        <d v="2023-01-11T00:00:00" u="1"/>
        <d v="2023-03-02T00:00:00" u="1"/>
        <d v="2022-12-16T00:00:00" u="1"/>
        <d v="2023-02-16T00:00:00" u="1"/>
        <d v="2022-08-08T00:00:00" u="1"/>
        <d v="2022-11-30T00:00:00" u="1"/>
        <d v="2023-01-30T00:00:00" u="1"/>
        <d v="2023-03-21T00:00:00" u="1"/>
        <d v="2023-05-12T00:00:00" u="1"/>
        <d v="2023-07-03T00:00:00" u="1"/>
        <d v="2023-01-04T00:00:00" u="1"/>
        <d v="2023-04-26T00:00:00" u="1"/>
        <d v="2022-12-09T00:00:00" u="1"/>
        <d v="2023-02-09T00:00:00" u="1"/>
        <d v="2023-05-31T00:00:00" u="1"/>
        <d v="2022-08-01T00:00:00" u="1"/>
        <d v="2022-11-23T00:00:00" u="1"/>
        <d v="2023-01-23T00:00:00" u="1"/>
        <d v="2023-03-14T00:00:00" u="1"/>
        <d v="2023-05-05T00:00:00" u="1"/>
        <d v="2022-12-28T00:00:00" u="1"/>
        <d v="2023-02-28T00:00:00" u="1"/>
        <d v="2023-04-19T00:00:00" u="1"/>
        <d v="2022-01-16T00:00:00" u="1"/>
        <d v="2022-12-02T00:00:00" u="1"/>
        <d v="2023-02-02T00:00:00" u="1"/>
        <d v="2023-05-24T00:00:00" u="1"/>
        <d v="2022-11-16T00:00:00" u="1"/>
        <d v="2023-03-07T00:00:00" u="1"/>
        <d v="2023-06-29T00:00:00" u="1"/>
        <d v="2022-12-21T00:00:00" u="1"/>
        <d v="2023-04-12T00:00:00" u="1"/>
        <d v="2023-05-17T00:00:00" u="1"/>
        <d v="2022-11-09T00:00:00" u="1"/>
        <d v="2023-01-09T00:00:00" u="1"/>
        <d v="2023-06-22T00:00:00" u="1"/>
        <d v="2022-12-14T00:00:00" u="1"/>
        <d v="2023-02-14T00:00:00" u="1"/>
        <d v="2023-04-05T00:00:00" u="1"/>
        <d v="2023-07-27T00:00:00" u="1"/>
        <d v="2022-11-28T00:00:00" u="1"/>
        <d v="2023-05-10T00:00:00" u="1"/>
        <d v="2022-11-02T00:00:00" u="1"/>
        <d v="2023-04-24T00:00:00" u="1"/>
        <d v="2023-06-15T00:00:00" u="1"/>
        <d v="2022-08-25T00:00:00" u="1"/>
        <d v="2022-12-07T00:00:00" u="1"/>
        <d v="2023-02-07T00:00:00" u="1"/>
        <d v="2023-05-29T00:00:00" u="1"/>
        <d v="2023-07-20T00:00:00" u="1"/>
        <d v="2022-11-21T00:00:00" u="1"/>
        <d v="2023-05-03T00:00:00" u="1"/>
        <d v="2023-04-17T00:00:00" u="1"/>
        <d v="2023-06-08T00:00:00" u="1"/>
        <d v="2022-08-18T00:00:00" u="1"/>
        <d v="2023-03-31T00:00:00" u="1"/>
        <d v="2023-05-22T00:00:00" u="1"/>
        <d v="2023-07-13T00:00:00" u="1"/>
        <d v="2022-11-14T00:00:00" u="1"/>
        <d v="2023-06-27T00:00:00" u="1"/>
        <d v="2022-12-19T00:00:00" u="1"/>
        <d v="2023-04-10T00:00:00" u="1"/>
        <d v="2023-06-01T00:00:00" u="1"/>
        <d v="2022-08-11T00:00:00" u="1"/>
        <d v="2023-03-24T00:00:00" u="1"/>
        <d v="2023-05-15T00:00:00" u="1"/>
        <d v="2023-07-06T00:00:00" u="1"/>
        <d v="2022-11-07T00:00:00" u="1"/>
        <d v="2023-06-20T00:00:00" u="1"/>
        <d v="2022-08-30T00:00:00" u="1"/>
        <d v="2022-12-12T00:00:00" u="1"/>
        <d v="2023-04-03T00:00:00" u="1"/>
        <d v="2023-07-25T00:00:00" u="1"/>
        <d v="2022-08-04T00:00:00" u="1"/>
        <d v="2023-03-17T00:00:00" u="1"/>
        <d v="2023-05-08T00:00:00" u="1"/>
        <d v="2023-06-13T00:00:00" u="1"/>
        <d v="2022-08-23T00:00:00" u="1"/>
        <d v="2023-07-18T00:00:00" u="1"/>
        <d v="2023-01-19T00:00:00" u="1"/>
        <d v="2023-03-10T00:00:00" u="1"/>
        <d v="2023-02-24T00:00:00" u="1"/>
        <d v="2023-06-06T00:00:00" u="1"/>
        <d v="2022-08-16T00:00:00" u="1"/>
        <d v="2023-03-29T00:00:00" u="1"/>
        <d v="2023-07-11T00:00:00" u="1"/>
        <d v="2023-01-12T00:00:00" u="1"/>
        <d v="2023-03-03T00:00:00" u="1"/>
        <d v="2023-02-17T00:00:00" u="1"/>
        <d v="2022-08-09T00:00:00" u="1"/>
        <d v="2023-01-31T00:00:00" u="1"/>
        <d v="2023-03-22T00:00:00" u="1"/>
        <d v="2023-07-04T00:00:00" u="1"/>
        <d v="2023-01-05T00:00:00" u="1"/>
        <d v="2023-04-27T00:00:00" u="1"/>
        <d v="2023-02-10T00:00:00" u="1"/>
        <d v="2022-08-02T00:00:00" u="1"/>
        <d v="2022-11-24T00:00:00" u="1"/>
        <d v="2023-01-24T00:00:00" u="1"/>
        <d v="2023-03-15T00:00:00" u="1"/>
        <d v="2022-12-29T00:00:00" u="1"/>
        <d v="2023-04-20T00:00:00" u="1"/>
        <d v="2023-02-03T00:00:00" u="1"/>
        <d v="2023-05-25T00:00:00" u="1"/>
        <d v="2022-11-17T00:00:00" u="1"/>
        <d v="2023-01-17T00:00:00" u="1"/>
        <d v="2023-03-08T00:00:00" u="1"/>
        <d v="2023-06-30T00:00:00" u="1"/>
        <d v="2022-12-22T00:00:00" u="1"/>
        <d v="2023-02-22T00:00:00" u="1"/>
        <d v="2023-04-13T00:00:00" u="1"/>
        <d v="2023-03-27T00:00:00" u="1"/>
        <d v="2023-05-18T00:00:00" u="1"/>
        <d v="2022-11-10T00:00:00" u="1"/>
        <d v="2023-01-10T00:00:00" u="1"/>
        <d v="2023-03-01T00:00:00" u="1"/>
        <d v="2023-06-23T00:00:00" u="1"/>
        <d v="2022-12-15T00:00:00" u="1"/>
        <d v="2023-02-15T00:00:00" u="1"/>
        <d v="2023-04-06T00:00:00" u="1"/>
        <d v="2023-07-28T00:00:00" u="1"/>
        <d v="2022-11-29T00:00:00" u="1"/>
        <d v="2023-03-20T00:00:00" u="1"/>
        <d v="2023-05-11T00:00:00" u="1"/>
        <d v="2023-01-03T00:00:00" u="1"/>
        <d v="2023-04-25T00:00:00" u="1"/>
        <d v="2023-06-16T00:00:00" u="1"/>
        <d v="2022-08-26T00:00:00" u="1"/>
        <d v="2022-12-08T00:00:00" u="1"/>
        <d v="2023-02-08T00:00:00" u="1"/>
        <d v="2023-05-30T00:00:00" u="1"/>
        <d v="2023-07-21T00:00:00" u="1"/>
        <d v="2022-11-22T00:00:00" u="1"/>
        <d v="2023-03-13T00:00:00" u="1"/>
        <d v="2023-05-04T00:00:00" u="1"/>
        <d v="2022-12-27T00:00:00" u="1"/>
        <d v="2023-02-27T00:00:00" u="1"/>
        <d v="2023-04-18T00:00:00" u="1"/>
        <d v="2023-06-09T00:00:00" u="1"/>
        <d v="2022-08-19T00:00:00" u="1"/>
        <d v="2022-12-01T00:00:00" u="1"/>
        <d v="2023-02-01T00:00:00" u="1"/>
        <d v="2023-05-23T00:00:00" u="1"/>
        <d v="2023-07-14T00:00:00" u="1"/>
        <d v="2022-11-15T00:00:00" u="1"/>
        <d v="2023-03-06T00:00:00" u="1"/>
        <d v="2023-06-28T00:00:00" u="1"/>
        <d v="2022-12-20T00:00:00" u="1"/>
        <d v="2023-04-11T00:00:00" u="1"/>
        <d v="2023-06-02T00:00:00" u="1"/>
        <d v="2023-05-16T00:00:00" u="1"/>
        <d v="2023-07-07T00:00:00" u="1"/>
        <d v="2022-11-08T00:00:00" u="1"/>
        <d v="2023-06-21T00:00:00" u="1"/>
        <d v="2022-08-31T00:00:00" u="1"/>
        <d v="2022-12-13T00:00:00" u="1"/>
        <d v="2023-02-13T00:00:00" u="1"/>
        <d v="2023-04-04T00:00:00" u="1"/>
        <d v="2023-07-26T00:00:00" u="1"/>
        <d v="2022-08-05T00:00:00" u="1"/>
        <d v="2023-01-27T00:00:00" u="1"/>
        <d v="2023-05-09T00:00:00" u="1"/>
        <d v="2022-11-01T00:00:00" u="1"/>
        <d v="2023-06-14T00:00:00" u="1"/>
        <d v="2022-08-24T00:00:00" u="1"/>
        <d v="2022-12-06T00:00:00" u="1"/>
        <d v="2023-02-06T00:00:00" u="1"/>
        <d v="2023-07-19T00:00:00" u="1"/>
        <d v="2023-01-20T00:00:00" u="1"/>
        <d v="2023-05-02T00:00:00" u="1"/>
        <d v="2023-06-07T00:00:00" u="1"/>
        <d v="2022-08-17T00:00:00" u="1"/>
        <d v="2023-03-30T00:00:00" u="1"/>
        <d v="2023-07-12T00:00:00" u="1"/>
        <d v="2023-01-13T00:00:00" u="1"/>
        <d v="2023-06-26T00:00:00" u="1"/>
        <d v="2023-07-31T00:00:00" u="1"/>
        <d v="2022-08-10T00:00:00" u="1"/>
        <d v="2023-03-23T00:00:00" u="1"/>
        <d v="2023-07-05T00:00:00" u="1"/>
        <d v="2023-01-06T00:00:00" u="1"/>
        <d v="2023-04-28T00:00:00" u="1"/>
        <d v="2023-06-19T00:00:00" u="1"/>
        <d v="2022-08-29T00:00:00" u="1"/>
        <d v="2023-07-24T00:00:00" u="1"/>
        <d v="2022-08-03T00:00:00" u="1"/>
        <d v="2022-11-25T00:00:00" u="1"/>
        <d v="2023-01-25T00:00:00" u="1"/>
        <d v="2023-03-16T00:00:00" u="1"/>
        <d v="2022-12-30T00:00:00" u="1"/>
        <d v="2023-04-21T00:00:00" u="1"/>
        <d v="2023-06-12T00:00:00" u="1"/>
        <d v="2022-08-22T00:00:00" u="1"/>
        <d v="2023-07-17T00:00:00" u="1"/>
      </sharedItems>
    </cacheField>
    <cacheField name="Horas" numFmtId="0">
      <sharedItems containsSemiMixedTypes="0" containsString="0" containsNumber="1" minValue="0.25" maxValue="6.5"/>
    </cacheField>
    <cacheField name="Tipo Hora" numFmtId="14">
      <sharedItems containsBlank="1" count="3">
        <s v="HN"/>
        <m u="1"/>
        <s v="H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"/>
    <s v="Shield Seguros"/>
    <s v="Daily: Shield y Atómicos; Revisión de correos y tablero"/>
    <x v="0"/>
    <n v="0.5"/>
    <x v="0"/>
  </r>
  <r>
    <n v="2"/>
    <s v="Shield Seguros"/>
    <s v="CMB: Op Ganada: Integration, tests"/>
    <x v="0"/>
    <n v="6"/>
    <x v="0"/>
  </r>
  <r>
    <n v="3"/>
    <s v="Shield Seguros"/>
    <s v="SaleGateway: Apoyo preparación paso a producción"/>
    <x v="0"/>
    <n v="1.5"/>
    <x v="0"/>
  </r>
  <r>
    <n v="4"/>
    <s v="Shield Seguros"/>
    <s v="Daily: Shield y Atómicos; Revisión de correos y tablero"/>
    <x v="1"/>
    <n v="0.5"/>
    <x v="0"/>
  </r>
  <r>
    <n v="5"/>
    <s v="Shield Seguros"/>
    <s v="CMB: OP Ganada: Refactor recibir base 64 en MessenegrService Error y enviarlo desde Integration"/>
    <x v="1"/>
    <n v="3"/>
    <x v="0"/>
  </r>
  <r>
    <n v="6"/>
    <s v="Shield Seguros"/>
    <s v="Refinamineto"/>
    <x v="1"/>
    <n v="0.5"/>
    <x v="0"/>
  </r>
  <r>
    <n v="7"/>
    <s v="Shield Seguros"/>
    <s v="CMB: Op Ganada: Integration, Fix CS, PR QA"/>
    <x v="1"/>
    <n v="3"/>
    <x v="0"/>
  </r>
  <r>
    <n v="8"/>
    <s v="Shield Seguros"/>
    <s v="Reu devs, QA para CMB mail"/>
    <x v="1"/>
    <n v="1"/>
    <x v="0"/>
  </r>
  <r>
    <n v="9"/>
    <s v="Shield Seguros"/>
    <s v="Daily: Shield y Atómicos; Revisión de correos y tablero"/>
    <x v="2"/>
    <n v="0.5"/>
    <x v="0"/>
  </r>
  <r>
    <n v="10"/>
    <s v="Shield Seguros"/>
    <s v="CMB: Pruebas con Sale"/>
    <x v="2"/>
    <n v="4.5"/>
    <x v="0"/>
  </r>
  <r>
    <n v="11"/>
    <s v="Shield Seguros"/>
    <s v="HUB: Apoyo David Vargas"/>
    <x v="2"/>
    <n v="1"/>
    <x v="0"/>
  </r>
  <r>
    <n v="12"/>
    <s v="Shield Seguros"/>
    <s v="HUB: Prubas producción"/>
    <x v="2"/>
    <n v="1"/>
    <x v="0"/>
  </r>
  <r>
    <n v="13"/>
    <s v="Shield Seguros"/>
    <s v="CMB: control duplicidad por external reference, (inicio desarrollo)"/>
    <x v="2"/>
    <n v="1"/>
    <x v="0"/>
  </r>
  <r>
    <n v="14"/>
    <s v="Shield Seguros"/>
    <s v="Daily: Shield y Atómicos; Revisión de correos y tablero"/>
    <x v="3"/>
    <n v="0.5"/>
    <x v="0"/>
  </r>
  <r>
    <n v="15"/>
    <s v="Shield Seguros"/>
    <s v="CMB: control duplicidad por external reference"/>
    <x v="3"/>
    <n v="3"/>
    <x v="0"/>
  </r>
  <r>
    <n v="16"/>
    <s v="Shield Seguros"/>
    <s v="CMB: control duplicidad por external reference, test, QA"/>
    <x v="3"/>
    <n v="2.25"/>
    <x v="0"/>
  </r>
  <r>
    <n v="17"/>
    <s v="Shield Seguros"/>
    <s v="CMB: OP ganada Sale"/>
    <x v="3"/>
    <n v="2"/>
    <x v="0"/>
  </r>
  <r>
    <n v="18"/>
    <s v="Shield Seguros"/>
    <s v="Informe de Actividades"/>
    <x v="3"/>
    <n v="0.25"/>
    <x v="0"/>
  </r>
  <r>
    <n v="19"/>
    <s v="Shield Seguros"/>
    <s v="Daily: Shield y Atómicos; Revisión de correos y tablero"/>
    <x v="4"/>
    <n v="0.5"/>
    <x v="0"/>
  </r>
  <r>
    <n v="20"/>
    <s v="Shield Seguros"/>
    <s v="CMB: Pruebas con Sale, refactor para estrategias"/>
    <x v="4"/>
    <n v="5.5"/>
    <x v="0"/>
  </r>
  <r>
    <n v="21"/>
    <s v="Shield Seguros"/>
    <s v="CMB gain: pruebas para cada producto"/>
    <x v="4"/>
    <n v="2"/>
    <x v="0"/>
  </r>
  <r>
    <n v="22"/>
    <s v="Shield Seguros"/>
    <s v="Daily: Shield y Atómicos; Revisión de correos y tablero"/>
    <x v="5"/>
    <n v="0.5"/>
    <x v="0"/>
  </r>
  <r>
    <n v="23"/>
    <s v="Shield Seguros"/>
    <s v="MessengerService: Control duplicidad CMB"/>
    <x v="5"/>
    <n v="4"/>
    <x v="0"/>
  </r>
  <r>
    <n v="24"/>
    <s v="Shield Seguros"/>
    <s v="MessengerService: Control duplicidad CMB Test, PR y QA"/>
    <x v="5"/>
    <n v="2.5"/>
    <x v="0"/>
  </r>
  <r>
    <n v="25"/>
    <s v="Shield Seguros"/>
    <s v="CMB gain: Sale: Fix merge conflicts"/>
    <x v="5"/>
    <n v="1"/>
    <x v="0"/>
  </r>
  <r>
    <n v="26"/>
    <s v="Shield Seguros"/>
    <s v="Daily: Shield y Atómicos; Revisión de correos y tablero"/>
    <x v="6"/>
    <n v="0.5"/>
    <x v="0"/>
  </r>
  <r>
    <n v="27"/>
    <s v="Shield Seguros"/>
    <s v="CMB: Revisión bugs, corregir y mejorar"/>
    <x v="6"/>
    <n v="6.5"/>
    <x v="0"/>
  </r>
  <r>
    <n v="28"/>
    <s v="Shield Seguros"/>
    <s v="Reunión CMb email"/>
    <x v="6"/>
    <n v="0.5"/>
    <x v="0"/>
  </r>
  <r>
    <n v="29"/>
    <s v="Shield Seguros"/>
    <s v="Reunión Hub Pruebas con mock"/>
    <x v="6"/>
    <n v="0.5"/>
    <x v="0"/>
  </r>
  <r>
    <n v="30"/>
    <s v="Shield Seguros"/>
    <s v="Daily: Shield y Atómicos; Revisión de correos y tablero"/>
    <x v="7"/>
    <n v="0.5"/>
    <x v="0"/>
  </r>
  <r>
    <n v="31"/>
    <s v="Shield Seguros"/>
    <s v="CMB: Gain Probar cambios desplegados; Integration fix cache"/>
    <x v="7"/>
    <n v="2.25"/>
    <x v="0"/>
  </r>
  <r>
    <n v="32"/>
    <s v="Shield Seguros"/>
    <s v="CMB: Config Hospimed"/>
    <x v="7"/>
    <n v="0.5"/>
    <x v="0"/>
  </r>
  <r>
    <n v="33"/>
    <s v="Shield Seguros"/>
    <s v="Hub: hailitar portables by Victor Jaramillo"/>
    <x v="7"/>
    <n v="0.5"/>
    <x v="0"/>
  </r>
  <r>
    <n v="34"/>
    <s v="Shield Seguros"/>
    <s v="Preparar HU's planning"/>
    <x v="7"/>
    <n v="1"/>
    <x v="0"/>
  </r>
  <r>
    <n v="35"/>
    <s v="Shield Seguros"/>
    <s v="TEST AB POC"/>
    <x v="7"/>
    <n v="1.5"/>
    <x v="0"/>
  </r>
  <r>
    <n v="36"/>
    <s v="Shield Seguros"/>
    <s v="Review"/>
    <x v="7"/>
    <n v="1.5"/>
    <x v="0"/>
  </r>
  <r>
    <n v="37"/>
    <s v="Shield Seguros"/>
    <s v="Informe de Actividades"/>
    <x v="7"/>
    <n v="0.25"/>
    <x v="0"/>
  </r>
  <r>
    <n v="38"/>
    <s v="Shield Seguros"/>
    <s v="POC: Cookie, investigación no funciona desplegado"/>
    <x v="8"/>
    <n v="4.75"/>
    <x v="0"/>
  </r>
  <r>
    <n v="39"/>
    <s v="Shield Seguros"/>
    <s v="HU´s para planning"/>
    <x v="8"/>
    <n v="0.5"/>
    <x v="0"/>
  </r>
  <r>
    <n v="40"/>
    <s v="Shield Seguros"/>
    <s v="Planning"/>
    <x v="8"/>
    <n v="2.5"/>
    <x v="0"/>
  </r>
  <r>
    <n v="41"/>
    <s v="Shield Seguros"/>
    <s v="Reu temas devs"/>
    <x v="8"/>
    <n v="0.25"/>
    <x v="0"/>
  </r>
  <r>
    <n v="42"/>
    <s v="Shield Seguros"/>
    <s v="Daily: Shield ; Revisión de correos y tablero"/>
    <x v="9"/>
    <n v="0.5"/>
    <x v="0"/>
  </r>
  <r>
    <n v="43"/>
    <s v="Shield Seguros"/>
    <s v="TEST AB, Pruebas Cookie con Front"/>
    <x v="9"/>
    <n v="6.25"/>
    <x v="0"/>
  </r>
  <r>
    <n v="44"/>
    <s v="Shield Seguros"/>
    <s v="CMB OP ganada, Mejora código creación"/>
    <x v="9"/>
    <n v="1"/>
    <x v="0"/>
  </r>
  <r>
    <n v="45"/>
    <s v="Shield Seguros"/>
    <s v="Reu team devs"/>
    <x v="9"/>
    <n v="0.25"/>
    <x v="0"/>
  </r>
  <r>
    <n v="46"/>
    <s v="Shield Seguros"/>
    <s v="Daily: Shield ; Revisión de correos y tablero"/>
    <x v="10"/>
    <n v="0.5"/>
    <x v="0"/>
  </r>
  <r>
    <n v="47"/>
    <s v="Shield Seguros"/>
    <s v="CMB Gain: Sale Close OP en estrategias que no heredan de base, pruebas, PR"/>
    <x v="10"/>
    <n v="5.75"/>
    <x v="0"/>
  </r>
  <r>
    <n v="48"/>
    <s v="Shield Seguros"/>
    <s v="Test AB, refactor seucurity"/>
    <x v="10"/>
    <n v="1.5"/>
    <x v="0"/>
  </r>
  <r>
    <n v="49"/>
    <s v="Shield Seguros"/>
    <s v="Reu Juan Pablo"/>
    <x v="10"/>
    <n v="0.25"/>
    <x v="0"/>
  </r>
  <r>
    <n v="50"/>
    <s v="Shield Seguros"/>
    <s v="Daily: Shield ; Revisión de correos y tablero"/>
    <x v="11"/>
    <n v="0.5"/>
    <x v="0"/>
  </r>
  <r>
    <n v="51"/>
    <s v="Shield Seguros"/>
    <s v="Taller Backlog Health"/>
    <x v="11"/>
    <n v="1.5"/>
    <x v="0"/>
  </r>
  <r>
    <n v="52"/>
    <s v="Shield Seguros"/>
    <s v="Test AB"/>
    <x v="11"/>
    <n v="5"/>
    <x v="0"/>
  </r>
  <r>
    <n v="53"/>
    <s v="Shield Seguros"/>
    <s v="Prework Q4"/>
    <x v="11"/>
    <n v="1"/>
    <x v="0"/>
  </r>
  <r>
    <n v="54"/>
    <s v="Shield Seguros"/>
    <s v="Daily: Shield ; Revisión de correos y tablero"/>
    <x v="12"/>
    <n v="0.5"/>
    <x v="0"/>
  </r>
  <r>
    <n v="55"/>
    <s v="Shield Seguros"/>
    <s v="Test AB, fix, pruebas"/>
    <x v="12"/>
    <n v="5.5"/>
    <x v="0"/>
  </r>
  <r>
    <n v="56"/>
    <s v="Shield Seguros"/>
    <s v="Test AB: wiki, listo a QA"/>
    <x v="12"/>
    <n v="0.5"/>
    <x v="0"/>
  </r>
  <r>
    <n v="57"/>
    <s v="Shield Seguros"/>
    <s v="Reu Cris Morillo QA"/>
    <x v="12"/>
    <n v="0.25"/>
    <x v="0"/>
  </r>
  <r>
    <n v="58"/>
    <s v="Shield Seguros"/>
    <s v="Reu Juan Martín: Primeras pruebas DES test AB"/>
    <x v="12"/>
    <n v="0.25"/>
    <x v="0"/>
  </r>
  <r>
    <n v="59"/>
    <s v="Shield Seguros"/>
    <s v="Prework Q4"/>
    <x v="12"/>
    <n v="1"/>
    <x v="0"/>
  </r>
  <r>
    <n v="60"/>
    <s v="Shield Seguros"/>
    <s v="Daily: Shield ; Revisión de correos y tablero"/>
    <x v="13"/>
    <n v="0.5"/>
    <x v="0"/>
  </r>
  <r>
    <n v="61"/>
    <s v="Shield Seguros"/>
    <s v="Test AB, fix Transaction Refernece"/>
    <x v="13"/>
    <n v="1.5"/>
    <x v="0"/>
  </r>
  <r>
    <n v="62"/>
    <s v="Shield Seguros"/>
    <s v="MessengerService: Control duplicidad CMB (Fix)"/>
    <x v="13"/>
    <n v="1.5"/>
    <x v="0"/>
  </r>
  <r>
    <n v="63"/>
    <s v="Shield Seguros"/>
    <s v="Reu Juan Pablo: Merge complicado suscripción método customPortal"/>
    <x v="13"/>
    <n v="1"/>
    <x v="0"/>
  </r>
  <r>
    <n v="64"/>
    <s v="Shield Seguros"/>
    <s v="Luego de merge investigación comportamiento no esperado, fix"/>
    <x v="13"/>
    <n v="3.5"/>
    <x v="0"/>
  </r>
  <r>
    <n v="65"/>
    <s v="Shield Seguros"/>
    <s v="Daily: Shield ; Revisión de correos y tablero"/>
    <x v="14"/>
    <n v="0.5"/>
    <x v="0"/>
  </r>
  <r>
    <n v="66"/>
    <s v="Shield Seguros"/>
    <s v="Hub, ver pasos par aocnfigurar postventa"/>
    <x v="14"/>
    <n v="3.75"/>
    <x v="0"/>
  </r>
  <r>
    <n v="67"/>
    <s v="Shield Seguros"/>
    <s v="Reu Alex A.: Config Hub postventa"/>
    <x v="14"/>
    <n v="0.75"/>
    <x v="0"/>
  </r>
  <r>
    <n v="68"/>
    <s v="Shield Seguros"/>
    <s v="Reu Juan Pablo &amp; Manuel Guerra: Test AB"/>
    <x v="14"/>
    <n v="1.25"/>
    <x v="0"/>
  </r>
  <r>
    <n v="69"/>
    <s v="Shield Seguros"/>
    <s v="CMB Gain fix conflict main"/>
    <x v="14"/>
    <n v="1.25"/>
    <x v="0"/>
  </r>
  <r>
    <n v="70"/>
    <s v="Shield Seguros"/>
    <s v="Pase Prod OP Ganada"/>
    <x v="14"/>
    <n v="0.5"/>
    <x v="0"/>
  </r>
  <r>
    <n v="71"/>
    <s v="Shield Seguros"/>
    <s v="Daily: Shield ; Revisión de correos y tablero"/>
    <x v="15"/>
    <n v="0.5"/>
    <x v="0"/>
  </r>
  <r>
    <n v="72"/>
    <s v="Shield Seguros"/>
    <s v="Test AB, estable con front, PR y QA"/>
    <x v="15"/>
    <n v="5.5"/>
    <x v="0"/>
  </r>
  <r>
    <n v="73"/>
    <s v="Shield Seguros"/>
    <s v="Taller análisis técnico CMB"/>
    <x v="15"/>
    <n v="1"/>
    <x v="0"/>
  </r>
  <r>
    <n v="74"/>
    <s v="Shield Seguros"/>
    <s v="Prework Q4"/>
    <x v="15"/>
    <n v="1"/>
    <x v="0"/>
  </r>
  <r>
    <n v="75"/>
    <s v="Shield Seguros"/>
    <s v="Daily: Shield ; Revisión de correos y tablero"/>
    <x v="16"/>
    <n v="0.5"/>
    <x v="0"/>
  </r>
  <r>
    <n v="76"/>
    <s v="Shield Seguros"/>
    <s v="Reu Juan Pablo &amp; Manuel guerra: Test AB Error despliqgue compilación por IDE"/>
    <x v="16"/>
    <n v="2"/>
    <x v="0"/>
  </r>
  <r>
    <n v="77"/>
    <s v="Shield Seguros"/>
    <s v="Test AB, clean code by fix, PR QA"/>
    <x v="16"/>
    <n v="1"/>
    <x v="0"/>
  </r>
  <r>
    <n v="78"/>
    <s v="Shield Seguros"/>
    <s v="SaleGateway: Mejora, quitar portal de respuesta offerable"/>
    <x v="16"/>
    <n v="3.5"/>
    <x v="0"/>
  </r>
  <r>
    <n v="79"/>
    <s v="Shield Seguros"/>
    <s v="Prework Q4"/>
    <x v="16"/>
    <n v="1"/>
    <x v="0"/>
  </r>
  <r>
    <n v="80"/>
    <s v="Shield Seguros"/>
    <s v="Daily: Shield ; Revisión de correos y tablero"/>
    <x v="17"/>
    <n v="0.5"/>
    <x v="0"/>
  </r>
  <r>
    <n v="81"/>
    <s v="Shield Seguros"/>
    <s v="Salegateway: Reverse, investigación error,Fix  quitar portla de oferable"/>
    <x v="17"/>
    <n v="6"/>
    <x v="0"/>
  </r>
  <r>
    <n v="82"/>
    <s v="Shield Seguros"/>
    <s v="Reu Cris Morillo: Revisión Test AB"/>
    <x v="17"/>
    <n v="0.5"/>
    <x v="0"/>
  </r>
  <r>
    <n v="83"/>
    <s v="Shield Seguros"/>
    <s v="Review"/>
    <x v="17"/>
    <n v="1"/>
    <x v="0"/>
  </r>
  <r>
    <n v="84"/>
    <s v="Shield Seguros"/>
    <s v="Daily: Shield ; Revisión de correos y tablero"/>
    <x v="18"/>
    <n v="0.5"/>
    <x v="0"/>
  </r>
  <r>
    <n v="85"/>
    <s v="Shield Seguros"/>
    <s v="CMB Info, generación de link, add sms y mail para todos los productos, pruebas"/>
    <x v="18"/>
    <n v="1"/>
    <x v="0"/>
  </r>
  <r>
    <n v="86"/>
    <s v="Shield Seguros"/>
    <s v="Reu devs Atómicos: Simular estado de venta CADUCADO u otros"/>
    <x v="18"/>
    <n v="2"/>
    <x v="0"/>
  </r>
  <r>
    <n v="87"/>
    <s v="Shield Seguros"/>
    <s v="Test AB."/>
    <x v="18"/>
    <n v="4.5"/>
    <x v="0"/>
  </r>
  <r>
    <n v="88"/>
    <s v="Shield Seguros"/>
    <s v="Daily: Shield ; Revisión de correos y tablero"/>
    <x v="19"/>
    <n v="0.5"/>
    <x v="0"/>
  </r>
  <r>
    <n v="89"/>
    <s v="Shield Seguros"/>
    <s v="Reu juan Pablo: Revisión algoritmo encriptación Java"/>
    <x v="19"/>
    <n v="0.5"/>
    <x v="0"/>
  </r>
  <r>
    <n v="90"/>
    <s v="Shield Seguros"/>
    <s v="Replica Algoritmo de encriptación Sponsor (Preparar ambiente Java y Replica Java)"/>
    <x v="19"/>
    <n v="6"/>
    <x v="0"/>
  </r>
  <r>
    <n v="91"/>
    <s v="Shield Seguros"/>
    <s v="Prework Q4"/>
    <x v="19"/>
    <n v="1"/>
    <x v="0"/>
  </r>
  <r>
    <n v="92"/>
    <s v="Shield Seguros"/>
    <s v="Daily: Shield ; Revisión de correos y tablero"/>
    <x v="20"/>
    <n v="0.5"/>
    <x v="0"/>
  </r>
  <r>
    <n v="93"/>
    <s v="Shield Seguros"/>
    <s v="Replica Algoritmo de encriptación Sponsor (Probar acuales en EVA)"/>
    <x v="20"/>
    <n v="2"/>
    <x v="0"/>
  </r>
  <r>
    <n v="94"/>
    <s v="Shield Seguros"/>
    <s v="Replica Algoritmo de encriptación Sponsor (Replicar en Eva)"/>
    <x v="20"/>
    <n v="3"/>
    <x v="0"/>
  </r>
  <r>
    <n v="95"/>
    <s v="Shield Seguros"/>
    <s v="Reu team devs: Fix Test AB"/>
    <x v="20"/>
    <n v="0.75"/>
    <x v="0"/>
  </r>
  <r>
    <n v="96"/>
    <s v="Shield Seguros"/>
    <s v="Reu Juan Pablo &amp; Manuel Guerra: (Mensaje de error sin formato Salegateway)"/>
    <x v="20"/>
    <n v="0.75"/>
    <x v="0"/>
  </r>
  <r>
    <n v="97"/>
    <s v="Shield Seguros"/>
    <s v="Prework Q4"/>
    <x v="20"/>
    <n v="1"/>
    <x v="0"/>
  </r>
  <r>
    <n v="98"/>
    <s v="Shield Seguros"/>
    <s v="Daily: Shield ; Revisión de correos y tablero"/>
    <x v="21"/>
    <n v="0.5"/>
    <x v="0"/>
  </r>
  <r>
    <n v="99"/>
    <s v="Shield Seguros"/>
    <s v="Replica Algoritmo de encriptación Sponsor"/>
    <x v="21"/>
    <n v="3.25"/>
    <x v="0"/>
  </r>
  <r>
    <n v="100"/>
    <s v="Shield Seguros"/>
    <s v="Replica Algoritmo de encriptación Sponsor: Pruebas y fix CS"/>
    <x v="21"/>
    <n v="2"/>
    <x v="0"/>
  </r>
  <r>
    <n v="101"/>
    <s v="Shield Seguros"/>
    <s v="Refinamiento y Reunión Pre-Work"/>
    <x v="21"/>
    <n v="1.25"/>
    <x v="0"/>
  </r>
  <r>
    <n v="102"/>
    <s v="Shield Seguros"/>
    <s v="Preparación HU's nuevo Sprint"/>
    <x v="2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856D5-2EE2-4184-A5BC-7EF2DF77766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6">
    <pivotField showAll="0"/>
    <pivotField showAll="0"/>
    <pivotField showAll="0"/>
    <pivotField axis="axisRow" numFmtId="14" showAll="0" sortType="ascending">
      <items count="764">
        <item m="1" x="175"/>
        <item m="1" x="176"/>
        <item m="1" x="177"/>
        <item m="1" x="178"/>
        <item m="1" x="592"/>
        <item m="1" x="557"/>
        <item m="1" x="584"/>
        <item m="1" x="665"/>
        <item m="1" x="754"/>
        <item m="1" x="642"/>
        <item m="1" x="728"/>
        <item m="1" x="573"/>
        <item m="1" x="658"/>
        <item m="1" x="746"/>
        <item m="1" x="632"/>
        <item m="1" x="564"/>
        <item m="1" x="652"/>
        <item m="1" x="740"/>
        <item m="1" x="623"/>
        <item m="1" x="708"/>
        <item m="1" x="761"/>
        <item m="1" x="646"/>
        <item m="1" x="733"/>
        <item m="1" x="614"/>
        <item m="1" x="696"/>
        <item m="1" x="752"/>
        <item m="1" x="638"/>
        <item m="1" x="723"/>
        <item m="1" x="731"/>
        <item m="1" x="611"/>
        <item m="1" x="636"/>
        <item m="1" x="721"/>
        <item m="1" x="602"/>
        <item m="1" x="682"/>
        <item m="1" x="568"/>
        <item m="1" x="627"/>
        <item m="1" x="713"/>
        <item m="1" x="596"/>
        <item m="1" x="673"/>
        <item m="1" x="558"/>
        <item m="1" x="619"/>
        <item m="1" x="701"/>
        <item m="1" x="585"/>
        <item m="1" x="666"/>
        <item m="1" x="755"/>
        <item m="1" x="609"/>
        <item m="1" x="690"/>
        <item m="1" x="574"/>
        <item m="1" x="709"/>
        <item m="1" x="593"/>
        <item m="1" x="734"/>
        <item m="1" x="615"/>
        <item m="1" x="697"/>
        <item m="1" x="581"/>
        <item m="1" x="639"/>
        <item m="1" x="724"/>
        <item m="1" x="605"/>
        <item m="1" x="686"/>
        <item m="1" x="571"/>
        <item m="1" x="629"/>
        <item m="1" x="716"/>
        <item m="1" x="599"/>
        <item m="1" x="677"/>
        <item m="1" x="561"/>
        <item m="1" x="704"/>
        <item m="1" x="589"/>
        <item m="1" x="669"/>
        <item m="1" x="758"/>
        <item m="1" x="693"/>
        <item m="1" x="579"/>
        <item m="1" x="662"/>
        <item m="1" x="749"/>
        <item m="1" x="603"/>
        <item m="1" x="683"/>
        <item m="1" x="569"/>
        <item m="1" x="655"/>
        <item m="1" x="743"/>
        <item m="1" x="674"/>
        <item m="1" x="559"/>
        <item m="1" x="648"/>
        <item m="1" x="737"/>
        <item m="1" x="586"/>
        <item m="1" x="667"/>
        <item m="1" x="756"/>
        <item m="1" x="729"/>
        <item m="1" x="575"/>
        <item m="1" x="659"/>
        <item m="1" x="710"/>
        <item m="1" x="594"/>
        <item m="1" x="671"/>
        <item m="1" x="735"/>
        <item m="1" x="616"/>
        <item m="1" x="698"/>
        <item m="1" x="582"/>
        <item m="1" x="664"/>
        <item m="1" x="725"/>
        <item m="1" x="606"/>
        <item m="1" x="687"/>
        <item m="1" x="572"/>
        <item m="1" x="657"/>
        <item m="1" x="678"/>
        <item m="1" x="650"/>
        <item m="1" x="705"/>
        <item m="1" x="590"/>
        <item m="1" x="684"/>
        <item m="1" x="570"/>
        <item m="1" x="656"/>
        <item m="1" x="714"/>
        <item m="1" x="597"/>
        <item m="1" x="675"/>
        <item m="1" x="560"/>
        <item m="1" x="649"/>
        <item m="1" x="702"/>
        <item m="1" x="587"/>
        <item m="1" x="668"/>
        <item m="1" x="757"/>
        <item m="1" x="643"/>
        <item m="1" x="691"/>
        <item m="1" x="576"/>
        <item m="1" x="660"/>
        <item m="1" x="747"/>
        <item m="1" x="633"/>
        <item m="1" x="680"/>
        <item m="1" x="565"/>
        <item m="1" x="653"/>
        <item m="1" x="741"/>
        <item m="1" x="624"/>
        <item m="1" x="640"/>
        <item m="1" x="726"/>
        <item m="1" x="607"/>
        <item m="1" x="688"/>
        <item m="1" x="630"/>
        <item m="1" x="717"/>
        <item m="1" x="600"/>
        <item m="1" x="679"/>
        <item m="1" x="562"/>
        <item m="1" x="621"/>
        <item m="1" x="706"/>
        <item m="1" x="591"/>
        <item m="1" x="670"/>
        <item m="1" x="759"/>
        <item m="1" x="612"/>
        <item m="1" x="694"/>
        <item m="1" x="580"/>
        <item m="1" x="663"/>
        <item m="1" x="750"/>
        <item m="1" x="738"/>
        <item m="1" x="620"/>
        <item m="1" x="703"/>
        <item m="1" x="588"/>
        <item m="1" x="644"/>
        <item m="1" x="730"/>
        <item m="1" x="610"/>
        <item m="1" x="692"/>
        <item m="1" x="577"/>
        <item m="1" x="634"/>
        <item m="1" x="719"/>
        <item m="1" x="601"/>
        <item m="1" x="681"/>
        <item m="1" x="566"/>
        <item m="1" x="625"/>
        <item m="1" x="711"/>
        <item m="1" x="595"/>
        <item m="1" x="672"/>
        <item m="1" x="617"/>
        <item m="1" x="699"/>
        <item m="1" x="583"/>
        <item m="1" x="631"/>
        <item m="1" x="718"/>
        <item m="1" x="563"/>
        <item m="1" x="651"/>
        <item m="1" x="739"/>
        <item m="1" x="622"/>
        <item m="1" x="707"/>
        <item m="1" x="760"/>
        <item m="1" x="645"/>
        <item m="1" x="732"/>
        <item m="1" x="613"/>
        <item m="1" x="695"/>
        <item m="1" x="751"/>
        <item m="1" x="637"/>
        <item m="1" x="722"/>
        <item m="1" x="604"/>
        <item m="1" x="685"/>
        <item m="1" x="744"/>
        <item m="1" x="628"/>
        <item m="1" x="715"/>
        <item m="1" x="598"/>
        <item m="1" x="676"/>
        <item m="1" x="578"/>
        <item m="1" x="661"/>
        <item m="1" x="748"/>
        <item m="1" x="635"/>
        <item m="1" x="720"/>
        <item m="1" x="567"/>
        <item m="1" x="654"/>
        <item m="1" x="742"/>
        <item m="1" x="626"/>
        <item m="1" x="712"/>
        <item m="1" x="762"/>
        <item m="1" x="647"/>
        <item m="1" x="736"/>
        <item m="1" x="618"/>
        <item m="1" x="700"/>
        <item m="1" x="753"/>
        <item m="1" x="641"/>
        <item m="1" x="727"/>
        <item m="1" x="608"/>
        <item m="1" x="689"/>
        <item m="1" x="745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372"/>
        <item m="1" x="373"/>
        <item m="1" x="39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94"/>
        <item m="1" x="388"/>
        <item m="1" x="389"/>
        <item m="1" x="390"/>
        <item m="1" x="391"/>
        <item m="1" x="392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04"/>
        <item m="1" x="305"/>
        <item m="1" x="326"/>
        <item m="1" x="306"/>
        <item m="1" x="307"/>
        <item m="1" x="308"/>
        <item m="1" x="309"/>
        <item m="1" x="325"/>
        <item m="1" x="327"/>
        <item m="1" x="328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282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83"/>
        <item m="1" x="284"/>
        <item m="1" x="276"/>
        <item m="1" x="277"/>
        <item m="1" x="278"/>
        <item m="1" x="279"/>
        <item m="1" x="280"/>
        <item m="1" x="285"/>
        <item m="1" x="286"/>
        <item m="1" x="281"/>
        <item m="1" x="257"/>
        <item m="1" x="258"/>
        <item m="1" x="259"/>
        <item m="1" x="260"/>
        <item m="1" x="287"/>
        <item m="1" x="288"/>
        <item m="1" x="239"/>
        <item m="1" x="240"/>
        <item m="1" x="241"/>
        <item m="1" x="242"/>
        <item m="1" x="289"/>
        <item m="1" x="290"/>
        <item m="1" x="291"/>
        <item m="1" x="243"/>
        <item m="1" x="244"/>
        <item m="1" x="245"/>
        <item m="1" x="246"/>
        <item m="1" x="247"/>
        <item m="1" x="292"/>
        <item m="1" x="293"/>
        <item m="1" x="248"/>
        <item m="1" x="249"/>
        <item m="1" x="250"/>
        <item m="1" x="251"/>
        <item m="1" x="252"/>
        <item m="1" x="294"/>
        <item m="1" x="295"/>
        <item m="1" x="253"/>
        <item m="1" x="254"/>
        <item m="1" x="255"/>
        <item m="1" x="256"/>
        <item m="1" x="296"/>
        <item m="1" x="297"/>
        <item m="1" x="298"/>
        <item m="1" x="299"/>
        <item m="1" x="220"/>
        <item m="1" x="221"/>
        <item m="1" x="222"/>
        <item m="1" x="223"/>
        <item m="1" x="300"/>
        <item m="1" x="301"/>
        <item m="1" x="224"/>
        <item m="1" x="225"/>
        <item m="1" x="226"/>
        <item m="1" x="227"/>
        <item m="1" x="228"/>
        <item m="1" x="302"/>
        <item m="1" x="30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9"/>
        <item m="1" x="215"/>
        <item m="1" x="216"/>
        <item m="1" x="217"/>
        <item m="1" x="218"/>
        <item m="1" x="131"/>
        <item m="1" x="132"/>
        <item m="1" x="133"/>
        <item m="1" x="134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29"/>
        <item m="1" x="130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88"/>
        <item m="1" x="109"/>
        <item m="1" x="154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23"/>
        <item m="1" x="4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0"/>
        <item x="1"/>
        <item x="2"/>
        <item x="3"/>
        <item x="4"/>
        <item x="5"/>
        <item x="6"/>
        <item x="7"/>
        <item x="8"/>
        <item x="9"/>
        <item m="1" x="22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axis="axisRow" showAll="0">
      <items count="4">
        <item x="0"/>
        <item m="1" x="2"/>
        <item m="1" x="1"/>
        <item t="default"/>
      </items>
    </pivotField>
  </pivotFields>
  <rowFields count="2">
    <field x="5"/>
    <field x="3"/>
  </rowFields>
  <rowItems count="24">
    <i>
      <x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t="grand">
      <x/>
    </i>
  </rowItems>
  <colItems count="1">
    <i/>
  </colItems>
  <dataFields count="1">
    <dataField name="Suma de Hor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18"/>
  <sheetViews>
    <sheetView tabSelected="1" zoomScale="85" zoomScaleNormal="85" workbookViewId="0">
      <pane xSplit="1" ySplit="8" topLeftCell="B89" activePane="bottomRight" state="frozen"/>
      <selection pane="topRight" activeCell="B1" sqref="B1"/>
      <selection pane="bottomLeft" activeCell="A4" sqref="A4"/>
      <selection pane="bottomRight" activeCell="D109" sqref="D109"/>
    </sheetView>
  </sheetViews>
  <sheetFormatPr baseColWidth="10" defaultColWidth="9.109375" defaultRowHeight="14.4" x14ac:dyDescent="0.3"/>
  <cols>
    <col min="1" max="1" width="8.5546875" customWidth="1"/>
    <col min="2" max="2" width="19" customWidth="1"/>
    <col min="3" max="3" width="75.109375" customWidth="1"/>
    <col min="4" max="4" width="18.44140625" customWidth="1"/>
    <col min="5" max="5" width="10.77734375" bestFit="1" customWidth="1"/>
    <col min="6" max="6" width="5.44140625" customWidth="1"/>
    <col min="7" max="7" width="12.5546875" customWidth="1"/>
    <col min="9" max="9" width="14.5546875" customWidth="1"/>
    <col min="10" max="10" width="13" customWidth="1"/>
  </cols>
  <sheetData>
    <row r="1" spans="1:125" ht="42" customHeight="1" x14ac:dyDescent="0.3">
      <c r="A1" s="31" t="s">
        <v>0</v>
      </c>
      <c r="B1" s="31"/>
      <c r="C1" s="31"/>
      <c r="D1" s="31"/>
      <c r="E1" s="31"/>
      <c r="F1" s="31"/>
    </row>
    <row r="2" spans="1:125" x14ac:dyDescent="0.3">
      <c r="A2" s="26" t="s">
        <v>1</v>
      </c>
      <c r="B2" s="27"/>
      <c r="C2" s="32">
        <v>45930</v>
      </c>
      <c r="D2" s="33"/>
      <c r="E2" s="33"/>
      <c r="F2" s="34"/>
    </row>
    <row r="3" spans="1:125" x14ac:dyDescent="0.3">
      <c r="A3" s="26" t="s">
        <v>2</v>
      </c>
      <c r="B3" s="27"/>
      <c r="C3" s="28" t="s">
        <v>3</v>
      </c>
      <c r="D3" s="29"/>
      <c r="E3" s="29"/>
      <c r="F3" s="30"/>
    </row>
    <row r="4" spans="1:125" ht="15" customHeight="1" x14ac:dyDescent="0.3">
      <c r="A4" s="26" t="s">
        <v>4</v>
      </c>
      <c r="B4" s="27"/>
      <c r="C4" s="28" t="s">
        <v>27</v>
      </c>
      <c r="D4" s="29"/>
      <c r="E4" s="29"/>
      <c r="F4" s="30"/>
    </row>
    <row r="5" spans="1:125" ht="15" customHeight="1" x14ac:dyDescent="0.3">
      <c r="A5" s="35" t="s">
        <v>5</v>
      </c>
      <c r="B5" s="36"/>
      <c r="C5" s="25" t="s">
        <v>19</v>
      </c>
      <c r="D5" s="25"/>
      <c r="E5" s="25"/>
      <c r="F5" s="25"/>
    </row>
    <row r="6" spans="1:125" ht="15" customHeight="1" x14ac:dyDescent="0.3">
      <c r="A6" s="37" t="s">
        <v>6</v>
      </c>
      <c r="B6" s="38"/>
      <c r="C6" s="39" t="s">
        <v>24</v>
      </c>
      <c r="D6" s="40"/>
      <c r="E6" s="40"/>
      <c r="F6" s="41"/>
    </row>
    <row r="7" spans="1:125" ht="15" customHeight="1" x14ac:dyDescent="0.3">
      <c r="A7" s="42" t="s">
        <v>7</v>
      </c>
      <c r="B7" s="43"/>
      <c r="C7" s="43"/>
      <c r="D7" s="43"/>
      <c r="E7" s="43"/>
      <c r="F7" s="44"/>
    </row>
    <row r="8" spans="1:125" ht="28.8" x14ac:dyDescent="0.3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125" s="4" customFormat="1" x14ac:dyDescent="0.3">
      <c r="A9" s="14">
        <v>1</v>
      </c>
      <c r="B9" s="5" t="s">
        <v>25</v>
      </c>
      <c r="C9" s="13" t="s">
        <v>26</v>
      </c>
      <c r="D9" s="7">
        <v>45901</v>
      </c>
      <c r="E9" s="8">
        <v>0.5</v>
      </c>
      <c r="F9" s="7" t="s">
        <v>14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</row>
    <row r="10" spans="1:125" s="4" customFormat="1" x14ac:dyDescent="0.3">
      <c r="A10" s="14">
        <v>2</v>
      </c>
      <c r="B10" s="5" t="s">
        <v>25</v>
      </c>
      <c r="C10" s="13" t="s">
        <v>29</v>
      </c>
      <c r="D10" s="7">
        <v>45901</v>
      </c>
      <c r="E10" s="8">
        <v>6</v>
      </c>
      <c r="F10" s="7" t="s">
        <v>14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s="4" customFormat="1" x14ac:dyDescent="0.3">
      <c r="A11" s="14">
        <v>3</v>
      </c>
      <c r="B11" s="5" t="s">
        <v>25</v>
      </c>
      <c r="C11" s="13" t="s">
        <v>28</v>
      </c>
      <c r="D11" s="7">
        <v>45901</v>
      </c>
      <c r="E11" s="8">
        <v>1.5</v>
      </c>
      <c r="F11" s="7" t="s">
        <v>14</v>
      </c>
      <c r="G11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</row>
    <row r="12" spans="1:125" s="4" customFormat="1" x14ac:dyDescent="0.3">
      <c r="A12" s="14">
        <v>4</v>
      </c>
      <c r="B12" s="5" t="s">
        <v>25</v>
      </c>
      <c r="C12" s="13" t="s">
        <v>26</v>
      </c>
      <c r="D12" s="7">
        <v>45902</v>
      </c>
      <c r="E12" s="8">
        <v>0.5</v>
      </c>
      <c r="F12" s="7" t="s">
        <v>14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</row>
    <row r="13" spans="1:125" s="4" customFormat="1" ht="28.8" x14ac:dyDescent="0.3">
      <c r="A13" s="14">
        <v>5</v>
      </c>
      <c r="B13" s="5" t="s">
        <v>25</v>
      </c>
      <c r="C13" s="13" t="s">
        <v>31</v>
      </c>
      <c r="D13" s="7">
        <v>45902</v>
      </c>
      <c r="E13" s="8">
        <v>3</v>
      </c>
      <c r="F13" s="7" t="s">
        <v>14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s="4" customFormat="1" x14ac:dyDescent="0.3">
      <c r="A14" s="14">
        <v>6</v>
      </c>
      <c r="B14" s="5" t="s">
        <v>25</v>
      </c>
      <c r="C14" s="13" t="s">
        <v>34</v>
      </c>
      <c r="D14" s="7">
        <v>45902</v>
      </c>
      <c r="E14" s="8">
        <v>0.5</v>
      </c>
      <c r="F14" s="7" t="s">
        <v>14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</row>
    <row r="15" spans="1:125" s="4" customFormat="1" x14ac:dyDescent="0.3">
      <c r="A15" s="14">
        <v>7</v>
      </c>
      <c r="B15" s="5" t="s">
        <v>25</v>
      </c>
      <c r="C15" s="13" t="s">
        <v>30</v>
      </c>
      <c r="D15" s="7">
        <v>45902</v>
      </c>
      <c r="E15" s="8">
        <v>3</v>
      </c>
      <c r="F15" s="7" t="s">
        <v>14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</row>
    <row r="16" spans="1:125" s="4" customFormat="1" x14ac:dyDescent="0.3">
      <c r="A16" s="14">
        <v>8</v>
      </c>
      <c r="B16" s="5" t="s">
        <v>25</v>
      </c>
      <c r="C16" s="13" t="s">
        <v>32</v>
      </c>
      <c r="D16" s="7">
        <v>45902</v>
      </c>
      <c r="E16" s="8">
        <v>1</v>
      </c>
      <c r="F16" s="7" t="s">
        <v>14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s="4" customFormat="1" x14ac:dyDescent="0.3">
      <c r="A17" s="14">
        <v>9</v>
      </c>
      <c r="B17" s="5" t="s">
        <v>25</v>
      </c>
      <c r="C17" s="13" t="s">
        <v>26</v>
      </c>
      <c r="D17" s="7">
        <v>45903</v>
      </c>
      <c r="E17" s="8">
        <v>0.5</v>
      </c>
      <c r="F17" s="7" t="s">
        <v>14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</row>
    <row r="18" spans="1:125" s="4" customFormat="1" x14ac:dyDescent="0.3">
      <c r="A18" s="14">
        <v>10</v>
      </c>
      <c r="B18" s="5" t="s">
        <v>25</v>
      </c>
      <c r="C18" s="13" t="s">
        <v>36</v>
      </c>
      <c r="D18" s="7">
        <v>45903</v>
      </c>
      <c r="E18" s="8">
        <v>4.5</v>
      </c>
      <c r="F18" s="7" t="s">
        <v>14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</row>
    <row r="19" spans="1:125" s="4" customFormat="1" x14ac:dyDescent="0.3">
      <c r="A19" s="14">
        <v>11</v>
      </c>
      <c r="B19" s="5" t="s">
        <v>25</v>
      </c>
      <c r="C19" s="13" t="s">
        <v>35</v>
      </c>
      <c r="D19" s="7">
        <v>45903</v>
      </c>
      <c r="E19" s="8">
        <v>1</v>
      </c>
      <c r="F19" s="7" t="s">
        <v>14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s="4" customFormat="1" x14ac:dyDescent="0.3">
      <c r="A20" s="14">
        <v>12</v>
      </c>
      <c r="B20" s="5" t="s">
        <v>25</v>
      </c>
      <c r="C20" s="13" t="s">
        <v>37</v>
      </c>
      <c r="D20" s="7">
        <v>45903</v>
      </c>
      <c r="E20" s="8">
        <v>1</v>
      </c>
      <c r="F20" s="7" t="s">
        <v>14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</row>
    <row r="21" spans="1:125" x14ac:dyDescent="0.3">
      <c r="A21" s="14">
        <v>13</v>
      </c>
      <c r="B21" s="5" t="s">
        <v>25</v>
      </c>
      <c r="C21" s="13" t="s">
        <v>33</v>
      </c>
      <c r="D21" s="7">
        <v>45903</v>
      </c>
      <c r="E21" s="8">
        <v>1</v>
      </c>
      <c r="F21" s="7" t="s">
        <v>14</v>
      </c>
    </row>
    <row r="22" spans="1:125" x14ac:dyDescent="0.3">
      <c r="A22" s="14">
        <v>14</v>
      </c>
      <c r="B22" s="5" t="s">
        <v>25</v>
      </c>
      <c r="C22" s="13" t="s">
        <v>26</v>
      </c>
      <c r="D22" s="7">
        <v>45904</v>
      </c>
      <c r="E22" s="8">
        <v>0.5</v>
      </c>
      <c r="F22" s="7" t="s">
        <v>14</v>
      </c>
    </row>
    <row r="23" spans="1:125" x14ac:dyDescent="0.3">
      <c r="A23" s="14">
        <v>15</v>
      </c>
      <c r="B23" s="5" t="s">
        <v>25</v>
      </c>
      <c r="C23" s="13" t="s">
        <v>38</v>
      </c>
      <c r="D23" s="7">
        <v>45904</v>
      </c>
      <c r="E23" s="8">
        <v>3</v>
      </c>
      <c r="F23" s="7" t="s">
        <v>14</v>
      </c>
    </row>
    <row r="24" spans="1:125" x14ac:dyDescent="0.3">
      <c r="A24" s="14">
        <v>16</v>
      </c>
      <c r="B24" s="5" t="s">
        <v>25</v>
      </c>
      <c r="C24" s="13" t="s">
        <v>39</v>
      </c>
      <c r="D24" s="7">
        <v>45904</v>
      </c>
      <c r="E24" s="8">
        <v>2.25</v>
      </c>
      <c r="F24" s="7" t="s">
        <v>14</v>
      </c>
    </row>
    <row r="25" spans="1:125" x14ac:dyDescent="0.3">
      <c r="A25" s="14">
        <v>17</v>
      </c>
      <c r="B25" s="5" t="s">
        <v>25</v>
      </c>
      <c r="C25" s="13" t="s">
        <v>89</v>
      </c>
      <c r="D25" s="7">
        <v>45904</v>
      </c>
      <c r="E25" s="8">
        <v>2</v>
      </c>
      <c r="F25" s="7" t="s">
        <v>14</v>
      </c>
    </row>
    <row r="26" spans="1:125" x14ac:dyDescent="0.3">
      <c r="A26" s="14">
        <v>18</v>
      </c>
      <c r="B26" s="5" t="s">
        <v>25</v>
      </c>
      <c r="C26" s="13" t="s">
        <v>3</v>
      </c>
      <c r="D26" s="7">
        <v>45904</v>
      </c>
      <c r="E26" s="8">
        <v>0.25</v>
      </c>
      <c r="F26" s="7" t="s">
        <v>14</v>
      </c>
    </row>
    <row r="27" spans="1:125" x14ac:dyDescent="0.3">
      <c r="A27" s="14">
        <v>19</v>
      </c>
      <c r="B27" s="5" t="s">
        <v>25</v>
      </c>
      <c r="C27" s="13" t="s">
        <v>26</v>
      </c>
      <c r="D27" s="7">
        <v>45905</v>
      </c>
      <c r="E27" s="8">
        <v>0.5</v>
      </c>
      <c r="F27" s="7" t="s">
        <v>14</v>
      </c>
    </row>
    <row r="28" spans="1:125" x14ac:dyDescent="0.3">
      <c r="A28" s="14">
        <v>20</v>
      </c>
      <c r="B28" s="5" t="s">
        <v>25</v>
      </c>
      <c r="C28" s="13" t="s">
        <v>92</v>
      </c>
      <c r="D28" s="7">
        <v>45905</v>
      </c>
      <c r="E28" s="8">
        <v>5.5</v>
      </c>
      <c r="F28" s="7" t="s">
        <v>14</v>
      </c>
    </row>
    <row r="29" spans="1:125" x14ac:dyDescent="0.3">
      <c r="A29" s="14">
        <v>21</v>
      </c>
      <c r="B29" s="5" t="s">
        <v>25</v>
      </c>
      <c r="C29" s="13" t="s">
        <v>93</v>
      </c>
      <c r="D29" s="7">
        <v>45905</v>
      </c>
      <c r="E29" s="8">
        <v>2</v>
      </c>
      <c r="F29" s="7" t="s">
        <v>14</v>
      </c>
    </row>
    <row r="30" spans="1:125" x14ac:dyDescent="0.3">
      <c r="A30" s="14">
        <v>22</v>
      </c>
      <c r="B30" s="5" t="s">
        <v>25</v>
      </c>
      <c r="C30" s="13" t="s">
        <v>26</v>
      </c>
      <c r="D30" s="7">
        <v>45908</v>
      </c>
      <c r="E30" s="8">
        <v>0.5</v>
      </c>
      <c r="F30" s="7" t="s">
        <v>14</v>
      </c>
    </row>
    <row r="31" spans="1:125" x14ac:dyDescent="0.3">
      <c r="A31" s="14">
        <v>23</v>
      </c>
      <c r="B31" s="5" t="s">
        <v>25</v>
      </c>
      <c r="C31" s="13" t="s">
        <v>75</v>
      </c>
      <c r="D31" s="7">
        <v>45908</v>
      </c>
      <c r="E31" s="8">
        <v>4</v>
      </c>
      <c r="F31" s="7" t="s">
        <v>14</v>
      </c>
    </row>
    <row r="32" spans="1:125" x14ac:dyDescent="0.3">
      <c r="A32" s="14">
        <v>24</v>
      </c>
      <c r="B32" s="5" t="s">
        <v>25</v>
      </c>
      <c r="C32" s="13" t="s">
        <v>76</v>
      </c>
      <c r="D32" s="7">
        <v>45908</v>
      </c>
      <c r="E32" s="8">
        <v>2.5</v>
      </c>
      <c r="F32" s="7" t="s">
        <v>14</v>
      </c>
    </row>
    <row r="33" spans="1:6" x14ac:dyDescent="0.3">
      <c r="A33" s="14">
        <v>25</v>
      </c>
      <c r="B33" s="5" t="s">
        <v>25</v>
      </c>
      <c r="C33" s="13" t="s">
        <v>90</v>
      </c>
      <c r="D33" s="7">
        <v>45908</v>
      </c>
      <c r="E33" s="8">
        <v>1</v>
      </c>
      <c r="F33" s="7" t="s">
        <v>14</v>
      </c>
    </row>
    <row r="34" spans="1:6" x14ac:dyDescent="0.3">
      <c r="A34" s="14">
        <v>26</v>
      </c>
      <c r="B34" s="5" t="s">
        <v>25</v>
      </c>
      <c r="C34" s="13" t="s">
        <v>26</v>
      </c>
      <c r="D34" s="7">
        <v>45909</v>
      </c>
      <c r="E34" s="8">
        <v>0.5</v>
      </c>
      <c r="F34" s="7" t="s">
        <v>14</v>
      </c>
    </row>
    <row r="35" spans="1:6" x14ac:dyDescent="0.3">
      <c r="A35" s="14">
        <v>27</v>
      </c>
      <c r="B35" s="5" t="s">
        <v>25</v>
      </c>
      <c r="C35" s="13" t="s">
        <v>41</v>
      </c>
      <c r="D35" s="7">
        <v>45909</v>
      </c>
      <c r="E35" s="8">
        <v>6.5</v>
      </c>
      <c r="F35" s="7" t="s">
        <v>14</v>
      </c>
    </row>
    <row r="36" spans="1:6" x14ac:dyDescent="0.3">
      <c r="A36" s="14">
        <v>28</v>
      </c>
      <c r="B36" s="5" t="s">
        <v>25</v>
      </c>
      <c r="C36" s="13" t="s">
        <v>40</v>
      </c>
      <c r="D36" s="7">
        <v>45909</v>
      </c>
      <c r="E36" s="8">
        <v>0.5</v>
      </c>
      <c r="F36" s="7" t="s">
        <v>14</v>
      </c>
    </row>
    <row r="37" spans="1:6" x14ac:dyDescent="0.3">
      <c r="A37" s="14">
        <v>29</v>
      </c>
      <c r="B37" s="5" t="s">
        <v>25</v>
      </c>
      <c r="C37" s="13" t="s">
        <v>85</v>
      </c>
      <c r="D37" s="7">
        <v>45909</v>
      </c>
      <c r="E37" s="8">
        <v>0.5</v>
      </c>
      <c r="F37" s="7" t="s">
        <v>14</v>
      </c>
    </row>
    <row r="38" spans="1:6" x14ac:dyDescent="0.3">
      <c r="A38" s="14">
        <v>30</v>
      </c>
      <c r="B38" s="5" t="s">
        <v>25</v>
      </c>
      <c r="C38" s="13" t="s">
        <v>26</v>
      </c>
      <c r="D38" s="7">
        <v>45910</v>
      </c>
      <c r="E38" s="8">
        <v>0.5</v>
      </c>
      <c r="F38" s="7" t="s">
        <v>14</v>
      </c>
    </row>
    <row r="39" spans="1:6" x14ac:dyDescent="0.3">
      <c r="A39" s="14">
        <v>31</v>
      </c>
      <c r="B39" s="5" t="s">
        <v>25</v>
      </c>
      <c r="C39" s="13" t="s">
        <v>86</v>
      </c>
      <c r="D39" s="7">
        <v>45910</v>
      </c>
      <c r="E39" s="8">
        <v>2.25</v>
      </c>
      <c r="F39" s="7" t="s">
        <v>14</v>
      </c>
    </row>
    <row r="40" spans="1:6" x14ac:dyDescent="0.3">
      <c r="A40" s="14">
        <v>32</v>
      </c>
      <c r="B40" s="5" t="s">
        <v>25</v>
      </c>
      <c r="C40" s="13" t="s">
        <v>45</v>
      </c>
      <c r="D40" s="7">
        <v>45910</v>
      </c>
      <c r="E40" s="8">
        <v>0.5</v>
      </c>
      <c r="F40" s="7" t="s">
        <v>14</v>
      </c>
    </row>
    <row r="41" spans="1:6" x14ac:dyDescent="0.3">
      <c r="A41" s="14">
        <v>33</v>
      </c>
      <c r="B41" s="5" t="s">
        <v>25</v>
      </c>
      <c r="C41" s="13" t="s">
        <v>42</v>
      </c>
      <c r="D41" s="7">
        <v>45910</v>
      </c>
      <c r="E41" s="8">
        <v>0.5</v>
      </c>
      <c r="F41" s="7" t="s">
        <v>14</v>
      </c>
    </row>
    <row r="42" spans="1:6" x14ac:dyDescent="0.3">
      <c r="A42" s="14">
        <v>34</v>
      </c>
      <c r="B42" s="5" t="s">
        <v>25</v>
      </c>
      <c r="C42" s="13" t="s">
        <v>43</v>
      </c>
      <c r="D42" s="7">
        <v>45910</v>
      </c>
      <c r="E42" s="8">
        <v>1</v>
      </c>
      <c r="F42" s="7" t="s">
        <v>14</v>
      </c>
    </row>
    <row r="43" spans="1:6" x14ac:dyDescent="0.3">
      <c r="A43" s="14">
        <v>35</v>
      </c>
      <c r="B43" s="5" t="s">
        <v>25</v>
      </c>
      <c r="C43" s="13" t="s">
        <v>44</v>
      </c>
      <c r="D43" s="7">
        <v>45910</v>
      </c>
      <c r="E43" s="8">
        <v>1.5</v>
      </c>
      <c r="F43" s="7" t="s">
        <v>14</v>
      </c>
    </row>
    <row r="44" spans="1:6" x14ac:dyDescent="0.3">
      <c r="A44" s="14">
        <v>36</v>
      </c>
      <c r="B44" s="5" t="s">
        <v>25</v>
      </c>
      <c r="C44" s="13" t="s">
        <v>46</v>
      </c>
      <c r="D44" s="7">
        <v>45910</v>
      </c>
      <c r="E44" s="8">
        <v>1.5</v>
      </c>
      <c r="F44" s="7" t="s">
        <v>14</v>
      </c>
    </row>
    <row r="45" spans="1:6" x14ac:dyDescent="0.3">
      <c r="A45" s="14">
        <v>37</v>
      </c>
      <c r="B45" s="5" t="s">
        <v>25</v>
      </c>
      <c r="C45" s="13" t="s">
        <v>3</v>
      </c>
      <c r="D45" s="7">
        <v>45910</v>
      </c>
      <c r="E45" s="8">
        <v>0.25</v>
      </c>
      <c r="F45" s="7" t="s">
        <v>14</v>
      </c>
    </row>
    <row r="46" spans="1:6" x14ac:dyDescent="0.3">
      <c r="A46" s="14">
        <v>38</v>
      </c>
      <c r="B46" s="5" t="s">
        <v>25</v>
      </c>
      <c r="C46" s="13" t="s">
        <v>78</v>
      </c>
      <c r="D46" s="7">
        <v>45911</v>
      </c>
      <c r="E46" s="8">
        <v>4.75</v>
      </c>
      <c r="F46" s="7" t="s">
        <v>14</v>
      </c>
    </row>
    <row r="47" spans="1:6" x14ac:dyDescent="0.3">
      <c r="A47" s="14">
        <v>39</v>
      </c>
      <c r="B47" s="5" t="s">
        <v>25</v>
      </c>
      <c r="C47" s="13" t="s">
        <v>48</v>
      </c>
      <c r="D47" s="7">
        <v>45911</v>
      </c>
      <c r="E47" s="8">
        <v>0.5</v>
      </c>
      <c r="F47" s="7" t="s">
        <v>14</v>
      </c>
    </row>
    <row r="48" spans="1:6" x14ac:dyDescent="0.3">
      <c r="A48" s="14">
        <v>40</v>
      </c>
      <c r="B48" s="5" t="s">
        <v>25</v>
      </c>
      <c r="C48" s="13" t="s">
        <v>47</v>
      </c>
      <c r="D48" s="7">
        <v>45911</v>
      </c>
      <c r="E48" s="8">
        <v>2.5</v>
      </c>
      <c r="F48" s="7" t="s">
        <v>14</v>
      </c>
    </row>
    <row r="49" spans="1:6" x14ac:dyDescent="0.3">
      <c r="A49" s="14">
        <v>41</v>
      </c>
      <c r="B49" s="5" t="s">
        <v>25</v>
      </c>
      <c r="C49" s="13" t="s">
        <v>74</v>
      </c>
      <c r="D49" s="7">
        <v>45911</v>
      </c>
      <c r="E49" s="8">
        <v>0.25</v>
      </c>
      <c r="F49" s="7" t="s">
        <v>14</v>
      </c>
    </row>
    <row r="50" spans="1:6" x14ac:dyDescent="0.3">
      <c r="A50" s="14">
        <v>42</v>
      </c>
      <c r="B50" s="5" t="s">
        <v>25</v>
      </c>
      <c r="C50" s="13" t="s">
        <v>49</v>
      </c>
      <c r="D50" s="7">
        <v>45912</v>
      </c>
      <c r="E50" s="8">
        <v>0.5</v>
      </c>
      <c r="F50" s="7" t="s">
        <v>14</v>
      </c>
    </row>
    <row r="51" spans="1:6" ht="15.45" customHeight="1" x14ac:dyDescent="0.3">
      <c r="A51" s="14">
        <v>43</v>
      </c>
      <c r="B51" s="5" t="s">
        <v>25</v>
      </c>
      <c r="C51" s="13" t="s">
        <v>79</v>
      </c>
      <c r="D51" s="7">
        <v>45912</v>
      </c>
      <c r="E51" s="8">
        <v>6.25</v>
      </c>
      <c r="F51" s="7" t="s">
        <v>14</v>
      </c>
    </row>
    <row r="52" spans="1:6" x14ac:dyDescent="0.3">
      <c r="A52" s="14">
        <v>44</v>
      </c>
      <c r="B52" s="5" t="s">
        <v>25</v>
      </c>
      <c r="C52" s="13" t="s">
        <v>87</v>
      </c>
      <c r="D52" s="7">
        <v>45912</v>
      </c>
      <c r="E52" s="8">
        <v>1</v>
      </c>
      <c r="F52" s="7" t="s">
        <v>14</v>
      </c>
    </row>
    <row r="53" spans="1:6" x14ac:dyDescent="0.3">
      <c r="A53" s="14">
        <v>45</v>
      </c>
      <c r="B53" s="5" t="s">
        <v>25</v>
      </c>
      <c r="C53" s="13" t="s">
        <v>73</v>
      </c>
      <c r="D53" s="7">
        <v>45912</v>
      </c>
      <c r="E53" s="8">
        <v>0.25</v>
      </c>
      <c r="F53" s="7" t="s">
        <v>14</v>
      </c>
    </row>
    <row r="54" spans="1:6" x14ac:dyDescent="0.3">
      <c r="A54" s="14">
        <v>46</v>
      </c>
      <c r="B54" s="5" t="s">
        <v>25</v>
      </c>
      <c r="C54" s="13" t="s">
        <v>49</v>
      </c>
      <c r="D54" s="7">
        <v>45915</v>
      </c>
      <c r="E54" s="8">
        <v>0.5</v>
      </c>
      <c r="F54" s="7" t="s">
        <v>14</v>
      </c>
    </row>
    <row r="55" spans="1:6" x14ac:dyDescent="0.3">
      <c r="A55" s="14">
        <v>47</v>
      </c>
      <c r="B55" s="5" t="s">
        <v>25</v>
      </c>
      <c r="C55" s="13" t="s">
        <v>91</v>
      </c>
      <c r="D55" s="7">
        <v>45915</v>
      </c>
      <c r="E55" s="8">
        <v>5.75</v>
      </c>
      <c r="F55" s="7" t="s">
        <v>14</v>
      </c>
    </row>
    <row r="56" spans="1:6" x14ac:dyDescent="0.3">
      <c r="A56" s="14">
        <v>48</v>
      </c>
      <c r="B56" s="5" t="s">
        <v>25</v>
      </c>
      <c r="C56" s="13" t="s">
        <v>80</v>
      </c>
      <c r="D56" s="7">
        <v>45915</v>
      </c>
      <c r="E56" s="8">
        <v>1.5</v>
      </c>
      <c r="F56" s="7" t="s">
        <v>14</v>
      </c>
    </row>
    <row r="57" spans="1:6" x14ac:dyDescent="0.3">
      <c r="A57" s="14">
        <v>49</v>
      </c>
      <c r="B57" s="5" t="s">
        <v>25</v>
      </c>
      <c r="C57" s="13" t="s">
        <v>68</v>
      </c>
      <c r="D57" s="7">
        <v>45915</v>
      </c>
      <c r="E57" s="8">
        <v>0.25</v>
      </c>
      <c r="F57" s="7" t="s">
        <v>14</v>
      </c>
    </row>
    <row r="58" spans="1:6" x14ac:dyDescent="0.3">
      <c r="A58" s="14">
        <v>50</v>
      </c>
      <c r="B58" s="5" t="s">
        <v>25</v>
      </c>
      <c r="C58" s="13" t="s">
        <v>49</v>
      </c>
      <c r="D58" s="7">
        <v>45916</v>
      </c>
      <c r="E58" s="8">
        <v>0.5</v>
      </c>
      <c r="F58" s="7" t="s">
        <v>14</v>
      </c>
    </row>
    <row r="59" spans="1:6" x14ac:dyDescent="0.3">
      <c r="A59" s="14">
        <v>51</v>
      </c>
      <c r="B59" s="5" t="s">
        <v>25</v>
      </c>
      <c r="C59" s="13" t="s">
        <v>56</v>
      </c>
      <c r="D59" s="7">
        <v>45916</v>
      </c>
      <c r="E59" s="8">
        <v>1.5</v>
      </c>
      <c r="F59" s="7" t="s">
        <v>14</v>
      </c>
    </row>
    <row r="60" spans="1:6" x14ac:dyDescent="0.3">
      <c r="A60" s="14">
        <v>52</v>
      </c>
      <c r="B60" s="5" t="s">
        <v>25</v>
      </c>
      <c r="C60" s="13" t="s">
        <v>81</v>
      </c>
      <c r="D60" s="7">
        <v>45916</v>
      </c>
      <c r="E60" s="8">
        <v>5</v>
      </c>
      <c r="F60" s="7" t="s">
        <v>14</v>
      </c>
    </row>
    <row r="61" spans="1:6" x14ac:dyDescent="0.3">
      <c r="A61" s="14">
        <v>53</v>
      </c>
      <c r="B61" s="5" t="s">
        <v>25</v>
      </c>
      <c r="C61" s="13" t="s">
        <v>55</v>
      </c>
      <c r="D61" s="7">
        <v>45916</v>
      </c>
      <c r="E61" s="8">
        <v>1</v>
      </c>
      <c r="F61" s="7" t="s">
        <v>14</v>
      </c>
    </row>
    <row r="62" spans="1:6" x14ac:dyDescent="0.3">
      <c r="A62" s="14">
        <v>54</v>
      </c>
      <c r="B62" s="5" t="s">
        <v>25</v>
      </c>
      <c r="C62" s="13" t="s">
        <v>49</v>
      </c>
      <c r="D62" s="7">
        <v>45917</v>
      </c>
      <c r="E62" s="8">
        <v>0.5</v>
      </c>
      <c r="F62" s="7" t="s">
        <v>14</v>
      </c>
    </row>
    <row r="63" spans="1:6" x14ac:dyDescent="0.3">
      <c r="A63" s="14">
        <v>55</v>
      </c>
      <c r="B63" s="5" t="s">
        <v>25</v>
      </c>
      <c r="C63" s="13" t="s">
        <v>94</v>
      </c>
      <c r="D63" s="7">
        <v>45917</v>
      </c>
      <c r="E63" s="8">
        <v>5.5</v>
      </c>
      <c r="F63" s="7" t="s">
        <v>14</v>
      </c>
    </row>
    <row r="64" spans="1:6" x14ac:dyDescent="0.3">
      <c r="A64" s="14">
        <v>56</v>
      </c>
      <c r="B64" s="5" t="s">
        <v>25</v>
      </c>
      <c r="C64" s="13" t="s">
        <v>95</v>
      </c>
      <c r="D64" s="7">
        <v>45917</v>
      </c>
      <c r="E64" s="8">
        <v>0.5</v>
      </c>
      <c r="F64" s="7" t="s">
        <v>14</v>
      </c>
    </row>
    <row r="65" spans="1:6" x14ac:dyDescent="0.3">
      <c r="A65" s="14">
        <v>57</v>
      </c>
      <c r="B65" s="5" t="s">
        <v>25</v>
      </c>
      <c r="C65" s="13" t="s">
        <v>71</v>
      </c>
      <c r="D65" s="7">
        <v>45917</v>
      </c>
      <c r="E65" s="8">
        <v>0.25</v>
      </c>
      <c r="F65" s="7" t="s">
        <v>14</v>
      </c>
    </row>
    <row r="66" spans="1:6" x14ac:dyDescent="0.3">
      <c r="A66" s="14">
        <v>58</v>
      </c>
      <c r="B66" s="5" t="s">
        <v>25</v>
      </c>
      <c r="C66" s="13" t="s">
        <v>70</v>
      </c>
      <c r="D66" s="7">
        <v>45917</v>
      </c>
      <c r="E66" s="8">
        <v>0.25</v>
      </c>
      <c r="F66" s="7" t="s">
        <v>14</v>
      </c>
    </row>
    <row r="67" spans="1:6" x14ac:dyDescent="0.3">
      <c r="A67" s="14">
        <v>59</v>
      </c>
      <c r="B67" s="5" t="s">
        <v>25</v>
      </c>
      <c r="C67" s="13" t="s">
        <v>55</v>
      </c>
      <c r="D67" s="7">
        <v>45917</v>
      </c>
      <c r="E67" s="8">
        <v>1</v>
      </c>
      <c r="F67" s="7" t="s">
        <v>14</v>
      </c>
    </row>
    <row r="68" spans="1:6" x14ac:dyDescent="0.3">
      <c r="A68" s="14">
        <v>60</v>
      </c>
      <c r="B68" s="5" t="s">
        <v>25</v>
      </c>
      <c r="C68" s="13" t="s">
        <v>49</v>
      </c>
      <c r="D68" s="7">
        <v>45918</v>
      </c>
      <c r="E68" s="8">
        <v>0.5</v>
      </c>
      <c r="F68" s="7" t="s">
        <v>14</v>
      </c>
    </row>
    <row r="69" spans="1:6" x14ac:dyDescent="0.3">
      <c r="A69" s="14">
        <v>61</v>
      </c>
      <c r="B69" s="5" t="s">
        <v>25</v>
      </c>
      <c r="C69" s="13" t="s">
        <v>82</v>
      </c>
      <c r="D69" s="7">
        <v>45918</v>
      </c>
      <c r="E69" s="8">
        <v>1.5</v>
      </c>
      <c r="F69" s="7" t="s">
        <v>14</v>
      </c>
    </row>
    <row r="70" spans="1:6" x14ac:dyDescent="0.3">
      <c r="A70" s="14">
        <v>62</v>
      </c>
      <c r="B70" s="5" t="s">
        <v>25</v>
      </c>
      <c r="C70" s="13" t="s">
        <v>77</v>
      </c>
      <c r="D70" s="7">
        <v>45918</v>
      </c>
      <c r="E70" s="8">
        <v>1.5</v>
      </c>
      <c r="F70" s="7" t="s">
        <v>14</v>
      </c>
    </row>
    <row r="71" spans="1:6" x14ac:dyDescent="0.3">
      <c r="A71" s="14">
        <v>63</v>
      </c>
      <c r="B71" s="5" t="s">
        <v>25</v>
      </c>
      <c r="C71" s="13" t="s">
        <v>69</v>
      </c>
      <c r="D71" s="7">
        <v>45918</v>
      </c>
      <c r="E71" s="8">
        <v>1</v>
      </c>
      <c r="F71" s="7" t="s">
        <v>14</v>
      </c>
    </row>
    <row r="72" spans="1:6" x14ac:dyDescent="0.3">
      <c r="A72" s="14">
        <v>64</v>
      </c>
      <c r="B72" s="5" t="s">
        <v>25</v>
      </c>
      <c r="C72" s="13" t="s">
        <v>96</v>
      </c>
      <c r="D72" s="7">
        <v>45918</v>
      </c>
      <c r="E72" s="8">
        <v>3.5</v>
      </c>
      <c r="F72" s="7" t="s">
        <v>14</v>
      </c>
    </row>
    <row r="73" spans="1:6" x14ac:dyDescent="0.3">
      <c r="A73" s="14">
        <v>65</v>
      </c>
      <c r="B73" s="5" t="s">
        <v>25</v>
      </c>
      <c r="C73" s="13" t="s">
        <v>49</v>
      </c>
      <c r="D73" s="7">
        <v>45919</v>
      </c>
      <c r="E73" s="8">
        <v>0.5</v>
      </c>
      <c r="F73" s="7" t="s">
        <v>14</v>
      </c>
    </row>
    <row r="74" spans="1:6" x14ac:dyDescent="0.3">
      <c r="A74" s="14">
        <v>66</v>
      </c>
      <c r="B74" s="5" t="s">
        <v>25</v>
      </c>
      <c r="C74" s="13" t="s">
        <v>100</v>
      </c>
      <c r="D74" s="7">
        <v>45919</v>
      </c>
      <c r="E74" s="8">
        <v>3.75</v>
      </c>
      <c r="F74" s="7" t="s">
        <v>14</v>
      </c>
    </row>
    <row r="75" spans="1:6" x14ac:dyDescent="0.3">
      <c r="A75" s="14">
        <v>67</v>
      </c>
      <c r="B75" s="5" t="s">
        <v>25</v>
      </c>
      <c r="C75" s="13" t="s">
        <v>67</v>
      </c>
      <c r="D75" s="7">
        <v>45919</v>
      </c>
      <c r="E75" s="8">
        <v>0.75</v>
      </c>
      <c r="F75" s="7" t="s">
        <v>14</v>
      </c>
    </row>
    <row r="76" spans="1:6" x14ac:dyDescent="0.3">
      <c r="A76" s="14">
        <v>68</v>
      </c>
      <c r="B76" s="5" t="s">
        <v>25</v>
      </c>
      <c r="C76" s="13" t="s">
        <v>66</v>
      </c>
      <c r="D76" s="7">
        <v>45919</v>
      </c>
      <c r="E76" s="8">
        <v>1.25</v>
      </c>
      <c r="F76" s="7" t="s">
        <v>14</v>
      </c>
    </row>
    <row r="77" spans="1:6" x14ac:dyDescent="0.3">
      <c r="A77" s="14">
        <v>69</v>
      </c>
      <c r="B77" s="5" t="s">
        <v>25</v>
      </c>
      <c r="C77" s="13" t="s">
        <v>97</v>
      </c>
      <c r="D77" s="7">
        <v>45919</v>
      </c>
      <c r="E77" s="8">
        <v>1.25</v>
      </c>
      <c r="F77" s="7" t="s">
        <v>14</v>
      </c>
    </row>
    <row r="78" spans="1:6" x14ac:dyDescent="0.3">
      <c r="A78" s="14">
        <v>70</v>
      </c>
      <c r="B78" s="5" t="s">
        <v>25</v>
      </c>
      <c r="C78" s="13" t="s">
        <v>59</v>
      </c>
      <c r="D78" s="7">
        <v>45919</v>
      </c>
      <c r="E78" s="8">
        <v>0.5</v>
      </c>
      <c r="F78" s="7" t="s">
        <v>14</v>
      </c>
    </row>
    <row r="79" spans="1:6" x14ac:dyDescent="0.3">
      <c r="A79" s="14">
        <v>71</v>
      </c>
      <c r="B79" s="5" t="s">
        <v>25</v>
      </c>
      <c r="C79" s="13" t="s">
        <v>49</v>
      </c>
      <c r="D79" s="7">
        <v>45922</v>
      </c>
      <c r="E79" s="8">
        <v>0.5</v>
      </c>
      <c r="F79" s="7" t="s">
        <v>14</v>
      </c>
    </row>
    <row r="80" spans="1:6" x14ac:dyDescent="0.3">
      <c r="A80" s="14">
        <v>72</v>
      </c>
      <c r="B80" s="5" t="s">
        <v>25</v>
      </c>
      <c r="C80" s="13" t="s">
        <v>83</v>
      </c>
      <c r="D80" s="7">
        <v>45922</v>
      </c>
      <c r="E80" s="8">
        <v>5.5</v>
      </c>
      <c r="F80" s="7" t="s">
        <v>14</v>
      </c>
    </row>
    <row r="81" spans="1:6" x14ac:dyDescent="0.3">
      <c r="A81" s="14">
        <v>73</v>
      </c>
      <c r="B81" s="5" t="s">
        <v>25</v>
      </c>
      <c r="C81" s="13" t="s">
        <v>58</v>
      </c>
      <c r="D81" s="7">
        <v>45922</v>
      </c>
      <c r="E81" s="8">
        <v>1</v>
      </c>
      <c r="F81" s="7" t="s">
        <v>14</v>
      </c>
    </row>
    <row r="82" spans="1:6" x14ac:dyDescent="0.3">
      <c r="A82" s="14">
        <v>74</v>
      </c>
      <c r="B82" s="5" t="s">
        <v>25</v>
      </c>
      <c r="C82" s="13" t="s">
        <v>55</v>
      </c>
      <c r="D82" s="7">
        <v>45922</v>
      </c>
      <c r="E82" s="8">
        <v>1</v>
      </c>
      <c r="F82" s="7" t="s">
        <v>14</v>
      </c>
    </row>
    <row r="83" spans="1:6" x14ac:dyDescent="0.3">
      <c r="A83" s="14">
        <v>75</v>
      </c>
      <c r="B83" s="5" t="s">
        <v>25</v>
      </c>
      <c r="C83" s="13" t="s">
        <v>49</v>
      </c>
      <c r="D83" s="7">
        <v>45923</v>
      </c>
      <c r="E83" s="8">
        <v>0.5</v>
      </c>
      <c r="F83" s="7" t="s">
        <v>14</v>
      </c>
    </row>
    <row r="84" spans="1:6" x14ac:dyDescent="0.3">
      <c r="A84" s="14">
        <v>76</v>
      </c>
      <c r="B84" s="5" t="s">
        <v>25</v>
      </c>
      <c r="C84" s="13" t="s">
        <v>65</v>
      </c>
      <c r="D84" s="7">
        <v>45923</v>
      </c>
      <c r="E84" s="8">
        <v>2</v>
      </c>
      <c r="F84" s="7" t="s">
        <v>14</v>
      </c>
    </row>
    <row r="85" spans="1:6" x14ac:dyDescent="0.3">
      <c r="A85" s="14">
        <v>77</v>
      </c>
      <c r="B85" s="5" t="s">
        <v>25</v>
      </c>
      <c r="C85" s="13" t="s">
        <v>84</v>
      </c>
      <c r="D85" s="7">
        <v>45923</v>
      </c>
      <c r="E85" s="8">
        <v>1</v>
      </c>
      <c r="F85" s="7" t="s">
        <v>14</v>
      </c>
    </row>
    <row r="86" spans="1:6" x14ac:dyDescent="0.3">
      <c r="A86" s="14">
        <v>78</v>
      </c>
      <c r="B86" s="5" t="s">
        <v>25</v>
      </c>
      <c r="C86" s="13" t="s">
        <v>88</v>
      </c>
      <c r="D86" s="7">
        <v>45923</v>
      </c>
      <c r="E86" s="8">
        <v>3.5</v>
      </c>
      <c r="F86" s="7" t="s">
        <v>14</v>
      </c>
    </row>
    <row r="87" spans="1:6" x14ac:dyDescent="0.3">
      <c r="A87" s="14">
        <v>79</v>
      </c>
      <c r="B87" s="5" t="s">
        <v>25</v>
      </c>
      <c r="C87" s="13" t="s">
        <v>55</v>
      </c>
      <c r="D87" s="7">
        <v>45923</v>
      </c>
      <c r="E87" s="8">
        <v>1</v>
      </c>
      <c r="F87" s="7" t="s">
        <v>14</v>
      </c>
    </row>
    <row r="88" spans="1:6" x14ac:dyDescent="0.3">
      <c r="A88" s="14">
        <v>80</v>
      </c>
      <c r="B88" s="5" t="s">
        <v>25</v>
      </c>
      <c r="C88" s="13" t="s">
        <v>49</v>
      </c>
      <c r="D88" s="7">
        <v>45924</v>
      </c>
      <c r="E88" s="8">
        <v>0.5</v>
      </c>
      <c r="F88" s="7" t="s">
        <v>14</v>
      </c>
    </row>
    <row r="89" spans="1:6" x14ac:dyDescent="0.3">
      <c r="A89" s="14">
        <v>81</v>
      </c>
      <c r="B89" s="5" t="s">
        <v>25</v>
      </c>
      <c r="C89" s="13" t="s">
        <v>98</v>
      </c>
      <c r="D89" s="7">
        <v>45924</v>
      </c>
      <c r="E89" s="8">
        <v>6</v>
      </c>
      <c r="F89" s="7" t="s">
        <v>14</v>
      </c>
    </row>
    <row r="90" spans="1:6" x14ac:dyDescent="0.3">
      <c r="A90" s="14">
        <v>82</v>
      </c>
      <c r="B90" s="5" t="s">
        <v>25</v>
      </c>
      <c r="C90" s="13" t="s">
        <v>64</v>
      </c>
      <c r="D90" s="7">
        <v>45924</v>
      </c>
      <c r="E90" s="8">
        <v>0.5</v>
      </c>
      <c r="F90" s="7" t="s">
        <v>14</v>
      </c>
    </row>
    <row r="91" spans="1:6" x14ac:dyDescent="0.3">
      <c r="A91" s="14">
        <v>83</v>
      </c>
      <c r="B91" s="5" t="s">
        <v>25</v>
      </c>
      <c r="C91" s="13" t="s">
        <v>46</v>
      </c>
      <c r="D91" s="7">
        <v>45924</v>
      </c>
      <c r="E91" s="8">
        <v>1</v>
      </c>
      <c r="F91" s="7" t="s">
        <v>14</v>
      </c>
    </row>
    <row r="92" spans="1:6" x14ac:dyDescent="0.3">
      <c r="A92" s="14">
        <v>84</v>
      </c>
      <c r="B92" s="5" t="s">
        <v>25</v>
      </c>
      <c r="C92" s="13" t="s">
        <v>49</v>
      </c>
      <c r="D92" s="7">
        <v>45925</v>
      </c>
      <c r="E92" s="8">
        <v>0.5</v>
      </c>
      <c r="F92" s="7" t="s">
        <v>14</v>
      </c>
    </row>
    <row r="93" spans="1:6" x14ac:dyDescent="0.3">
      <c r="A93" s="14">
        <v>85</v>
      </c>
      <c r="B93" s="5" t="s">
        <v>25</v>
      </c>
      <c r="C93" s="13" t="s">
        <v>99</v>
      </c>
      <c r="D93" s="7">
        <v>45925</v>
      </c>
      <c r="E93" s="8">
        <v>1</v>
      </c>
      <c r="F93" s="7" t="s">
        <v>14</v>
      </c>
    </row>
    <row r="94" spans="1:6" x14ac:dyDescent="0.3">
      <c r="A94" s="14">
        <v>86</v>
      </c>
      <c r="B94" s="5" t="s">
        <v>25</v>
      </c>
      <c r="C94" s="13" t="s">
        <v>63</v>
      </c>
      <c r="D94" s="7">
        <v>45925</v>
      </c>
      <c r="E94" s="8">
        <v>2</v>
      </c>
      <c r="F94" s="7" t="s">
        <v>14</v>
      </c>
    </row>
    <row r="95" spans="1:6" x14ac:dyDescent="0.3">
      <c r="A95" s="14">
        <v>87</v>
      </c>
      <c r="B95" s="5" t="s">
        <v>25</v>
      </c>
      <c r="C95" s="13" t="s">
        <v>101</v>
      </c>
      <c r="D95" s="7">
        <v>45925</v>
      </c>
      <c r="E95" s="8">
        <v>4.5</v>
      </c>
      <c r="F95" s="7" t="s">
        <v>14</v>
      </c>
    </row>
    <row r="96" spans="1:6" x14ac:dyDescent="0.3">
      <c r="A96" s="14">
        <v>88</v>
      </c>
      <c r="B96" s="5" t="s">
        <v>25</v>
      </c>
      <c r="C96" s="13" t="s">
        <v>49</v>
      </c>
      <c r="D96" s="7">
        <v>45926</v>
      </c>
      <c r="E96" s="8">
        <v>0.5</v>
      </c>
      <c r="F96" s="7" t="s">
        <v>14</v>
      </c>
    </row>
    <row r="97" spans="1:7" x14ac:dyDescent="0.3">
      <c r="A97" s="14">
        <v>89</v>
      </c>
      <c r="B97" s="5" t="s">
        <v>25</v>
      </c>
      <c r="C97" s="13" t="s">
        <v>62</v>
      </c>
      <c r="D97" s="7">
        <v>45926</v>
      </c>
      <c r="E97" s="8">
        <v>0.5</v>
      </c>
      <c r="F97" s="7" t="s">
        <v>14</v>
      </c>
    </row>
    <row r="98" spans="1:7" x14ac:dyDescent="0.3">
      <c r="A98" s="14">
        <v>90</v>
      </c>
      <c r="B98" s="5" t="s">
        <v>25</v>
      </c>
      <c r="C98" s="13" t="s">
        <v>72</v>
      </c>
      <c r="D98" s="7">
        <v>45926</v>
      </c>
      <c r="E98" s="8">
        <v>6</v>
      </c>
      <c r="F98" s="7" t="s">
        <v>14</v>
      </c>
    </row>
    <row r="99" spans="1:7" x14ac:dyDescent="0.3">
      <c r="A99" s="14">
        <v>91</v>
      </c>
      <c r="B99" s="5" t="s">
        <v>25</v>
      </c>
      <c r="C99" s="13" t="s">
        <v>55</v>
      </c>
      <c r="D99" s="7">
        <v>45926</v>
      </c>
      <c r="E99" s="8">
        <v>1</v>
      </c>
      <c r="F99" s="7" t="s">
        <v>14</v>
      </c>
    </row>
    <row r="100" spans="1:7" x14ac:dyDescent="0.3">
      <c r="A100" s="14">
        <v>92</v>
      </c>
      <c r="B100" s="5" t="s">
        <v>25</v>
      </c>
      <c r="C100" s="13" t="s">
        <v>49</v>
      </c>
      <c r="D100" s="7">
        <v>45929</v>
      </c>
      <c r="E100" s="8">
        <v>0.5</v>
      </c>
      <c r="F100" s="7" t="s">
        <v>14</v>
      </c>
    </row>
    <row r="101" spans="1:7" x14ac:dyDescent="0.3">
      <c r="A101" s="14">
        <v>93</v>
      </c>
      <c r="B101" s="5" t="s">
        <v>25</v>
      </c>
      <c r="C101" s="13" t="s">
        <v>53</v>
      </c>
      <c r="D101" s="7">
        <v>45929</v>
      </c>
      <c r="E101" s="8">
        <v>2</v>
      </c>
      <c r="F101" s="7" t="s">
        <v>14</v>
      </c>
    </row>
    <row r="102" spans="1:7" x14ac:dyDescent="0.3">
      <c r="A102" s="14">
        <v>94</v>
      </c>
      <c r="B102" s="5" t="s">
        <v>25</v>
      </c>
      <c r="C102" s="13" t="s">
        <v>54</v>
      </c>
      <c r="D102" s="7">
        <v>45929</v>
      </c>
      <c r="E102" s="8">
        <v>3</v>
      </c>
      <c r="F102" s="7" t="s">
        <v>14</v>
      </c>
    </row>
    <row r="103" spans="1:7" x14ac:dyDescent="0.3">
      <c r="A103" s="14">
        <v>95</v>
      </c>
      <c r="B103" s="5" t="s">
        <v>25</v>
      </c>
      <c r="C103" s="13" t="s">
        <v>60</v>
      </c>
      <c r="D103" s="7">
        <v>45929</v>
      </c>
      <c r="E103" s="8">
        <v>0.75</v>
      </c>
      <c r="F103" s="7" t="s">
        <v>14</v>
      </c>
    </row>
    <row r="104" spans="1:7" x14ac:dyDescent="0.3">
      <c r="A104" s="14">
        <v>96</v>
      </c>
      <c r="B104" s="5" t="s">
        <v>25</v>
      </c>
      <c r="C104" s="13" t="s">
        <v>61</v>
      </c>
      <c r="D104" s="7">
        <v>45929</v>
      </c>
      <c r="E104" s="8">
        <v>0.75</v>
      </c>
      <c r="F104" s="7" t="s">
        <v>14</v>
      </c>
    </row>
    <row r="105" spans="1:7" x14ac:dyDescent="0.3">
      <c r="A105" s="14">
        <v>97</v>
      </c>
      <c r="B105" s="5" t="s">
        <v>25</v>
      </c>
      <c r="C105" s="13" t="s">
        <v>55</v>
      </c>
      <c r="D105" s="7">
        <v>45929</v>
      </c>
      <c r="E105" s="8">
        <v>1</v>
      </c>
      <c r="F105" s="7" t="s">
        <v>14</v>
      </c>
    </row>
    <row r="106" spans="1:7" x14ac:dyDescent="0.3">
      <c r="A106" s="14">
        <v>98</v>
      </c>
      <c r="B106" s="5" t="s">
        <v>25</v>
      </c>
      <c r="C106" s="13" t="s">
        <v>49</v>
      </c>
      <c r="D106" s="7">
        <v>45930</v>
      </c>
      <c r="E106" s="8">
        <v>0.5</v>
      </c>
      <c r="F106" s="7" t="s">
        <v>14</v>
      </c>
    </row>
    <row r="107" spans="1:7" x14ac:dyDescent="0.3">
      <c r="A107" s="14">
        <v>99</v>
      </c>
      <c r="B107" s="5" t="s">
        <v>25</v>
      </c>
      <c r="C107" s="13" t="s">
        <v>50</v>
      </c>
      <c r="D107" s="7">
        <v>45930</v>
      </c>
      <c r="E107" s="8">
        <v>3.25</v>
      </c>
      <c r="F107" s="7" t="s">
        <v>14</v>
      </c>
    </row>
    <row r="108" spans="1:7" x14ac:dyDescent="0.3">
      <c r="A108" s="14">
        <v>100</v>
      </c>
      <c r="B108" s="5" t="s">
        <v>25</v>
      </c>
      <c r="C108" s="13" t="s">
        <v>51</v>
      </c>
      <c r="D108" s="7">
        <v>45930</v>
      </c>
      <c r="E108" s="8">
        <v>2</v>
      </c>
      <c r="F108" s="7" t="s">
        <v>14</v>
      </c>
    </row>
    <row r="109" spans="1:7" x14ac:dyDescent="0.3">
      <c r="A109" s="14">
        <v>101</v>
      </c>
      <c r="B109" s="5" t="s">
        <v>25</v>
      </c>
      <c r="C109" s="13" t="s">
        <v>57</v>
      </c>
      <c r="D109" s="7">
        <v>45930</v>
      </c>
      <c r="E109" s="8">
        <v>1.25</v>
      </c>
      <c r="F109" s="7" t="s">
        <v>14</v>
      </c>
    </row>
    <row r="110" spans="1:7" x14ac:dyDescent="0.3">
      <c r="A110" s="14">
        <v>102</v>
      </c>
      <c r="B110" s="5" t="s">
        <v>25</v>
      </c>
      <c r="C110" s="13" t="s">
        <v>52</v>
      </c>
      <c r="D110" s="7">
        <v>45930</v>
      </c>
      <c r="E110" s="8">
        <v>1</v>
      </c>
      <c r="F110" s="7" t="s">
        <v>14</v>
      </c>
    </row>
    <row r="111" spans="1:7" x14ac:dyDescent="0.3">
      <c r="A111" s="3"/>
      <c r="B111" s="3"/>
      <c r="E111" s="45">
        <f>SUM(E9:E110)</f>
        <v>176</v>
      </c>
      <c r="F111" s="2"/>
      <c r="G111" s="12"/>
    </row>
    <row r="112" spans="1:7" x14ac:dyDescent="0.3">
      <c r="A112" s="15" t="s">
        <v>15</v>
      </c>
      <c r="B112" s="15"/>
      <c r="C112" s="6" t="s">
        <v>16</v>
      </c>
    </row>
    <row r="113" spans="1:4" x14ac:dyDescent="0.3">
      <c r="A113" s="16"/>
      <c r="B113" s="17"/>
      <c r="C113" s="22"/>
    </row>
    <row r="114" spans="1:4" x14ac:dyDescent="0.3">
      <c r="A114" s="18"/>
      <c r="B114" s="19"/>
      <c r="C114" s="23"/>
      <c r="D114" s="12"/>
    </row>
    <row r="115" spans="1:4" x14ac:dyDescent="0.3">
      <c r="A115" s="18"/>
      <c r="B115" s="19"/>
      <c r="C115" s="23"/>
    </row>
    <row r="116" spans="1:4" x14ac:dyDescent="0.3">
      <c r="A116" s="20"/>
      <c r="B116" s="21"/>
      <c r="C116" s="24"/>
    </row>
    <row r="117" spans="1:4" x14ac:dyDescent="0.3">
      <c r="A117" s="25" t="str">
        <f>$C$6</f>
        <v>David Alexander Amaya Cruz</v>
      </c>
      <c r="B117" s="25"/>
      <c r="C117" s="5" t="s">
        <v>17</v>
      </c>
    </row>
    <row r="118" spans="1:4" x14ac:dyDescent="0.3">
      <c r="A118" s="25" t="s">
        <v>22</v>
      </c>
      <c r="B118" s="25"/>
      <c r="C118" s="5" t="s">
        <v>18</v>
      </c>
    </row>
  </sheetData>
  <mergeCells count="17">
    <mergeCell ref="A5:B5"/>
    <mergeCell ref="C5:F5"/>
    <mergeCell ref="A6:B6"/>
    <mergeCell ref="C6:F6"/>
    <mergeCell ref="A7:F7"/>
    <mergeCell ref="A4:B4"/>
    <mergeCell ref="C4:F4"/>
    <mergeCell ref="A1:F1"/>
    <mergeCell ref="A2:B2"/>
    <mergeCell ref="C2:F2"/>
    <mergeCell ref="A3:B3"/>
    <mergeCell ref="C3:F3"/>
    <mergeCell ref="A112:B112"/>
    <mergeCell ref="A113:B116"/>
    <mergeCell ref="C113:C116"/>
    <mergeCell ref="A117:B117"/>
    <mergeCell ref="A118:B1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CCF1-3FFF-458E-AAF7-138408705211}">
  <dimension ref="A3:F27"/>
  <sheetViews>
    <sheetView topLeftCell="A19" zoomScale="130" zoomScaleNormal="130" workbookViewId="0">
      <selection activeCell="D20" sqref="D20"/>
    </sheetView>
  </sheetViews>
  <sheetFormatPr baseColWidth="10" defaultRowHeight="14.4" x14ac:dyDescent="0.3"/>
  <cols>
    <col min="1" max="1" width="16.5546875" bestFit="1" customWidth="1"/>
    <col min="2" max="2" width="13.5546875" bestFit="1" customWidth="1"/>
  </cols>
  <sheetData>
    <row r="3" spans="1:6" x14ac:dyDescent="0.3">
      <c r="A3" s="9" t="s">
        <v>20</v>
      </c>
      <c r="B3" t="s">
        <v>23</v>
      </c>
    </row>
    <row r="4" spans="1:6" x14ac:dyDescent="0.3">
      <c r="A4" s="10" t="s">
        <v>14</v>
      </c>
      <c r="B4">
        <v>176</v>
      </c>
    </row>
    <row r="5" spans="1:6" x14ac:dyDescent="0.3">
      <c r="A5" s="11">
        <v>45901</v>
      </c>
      <c r="B5">
        <v>8</v>
      </c>
    </row>
    <row r="6" spans="1:6" x14ac:dyDescent="0.3">
      <c r="A6" s="11">
        <v>45902</v>
      </c>
      <c r="B6">
        <v>8</v>
      </c>
    </row>
    <row r="7" spans="1:6" x14ac:dyDescent="0.3">
      <c r="A7" s="11">
        <v>45903</v>
      </c>
      <c r="B7">
        <v>8</v>
      </c>
    </row>
    <row r="8" spans="1:6" x14ac:dyDescent="0.3">
      <c r="A8" s="11">
        <v>45904</v>
      </c>
      <c r="B8">
        <v>8</v>
      </c>
    </row>
    <row r="9" spans="1:6" x14ac:dyDescent="0.3">
      <c r="A9" s="11">
        <v>45905</v>
      </c>
      <c r="B9">
        <v>8</v>
      </c>
    </row>
    <row r="10" spans="1:6" x14ac:dyDescent="0.3">
      <c r="A10" s="11">
        <v>45908</v>
      </c>
      <c r="B10">
        <v>8</v>
      </c>
      <c r="C10" s="12"/>
    </row>
    <row r="11" spans="1:6" x14ac:dyDescent="0.3">
      <c r="A11" s="11">
        <v>45909</v>
      </c>
      <c r="B11">
        <v>8</v>
      </c>
    </row>
    <row r="12" spans="1:6" x14ac:dyDescent="0.3">
      <c r="A12" s="11">
        <v>45910</v>
      </c>
      <c r="B12">
        <v>8</v>
      </c>
    </row>
    <row r="13" spans="1:6" x14ac:dyDescent="0.3">
      <c r="A13" s="11">
        <v>45911</v>
      </c>
      <c r="B13">
        <v>8</v>
      </c>
    </row>
    <row r="14" spans="1:6" x14ac:dyDescent="0.3">
      <c r="A14" s="11">
        <v>45912</v>
      </c>
      <c r="B14">
        <v>8</v>
      </c>
      <c r="F14" s="12"/>
    </row>
    <row r="15" spans="1:6" x14ac:dyDescent="0.3">
      <c r="A15" s="11">
        <v>45915</v>
      </c>
      <c r="B15">
        <v>8</v>
      </c>
    </row>
    <row r="16" spans="1:6" x14ac:dyDescent="0.3">
      <c r="A16" s="11">
        <v>45916</v>
      </c>
      <c r="B16">
        <v>8</v>
      </c>
    </row>
    <row r="17" spans="1:2" x14ac:dyDescent="0.3">
      <c r="A17" s="11">
        <v>45917</v>
      </c>
      <c r="B17">
        <v>8</v>
      </c>
    </row>
    <row r="18" spans="1:2" x14ac:dyDescent="0.3">
      <c r="A18" s="11">
        <v>45918</v>
      </c>
      <c r="B18">
        <v>8</v>
      </c>
    </row>
    <row r="19" spans="1:2" x14ac:dyDescent="0.3">
      <c r="A19" s="11">
        <v>45919</v>
      </c>
      <c r="B19">
        <v>8</v>
      </c>
    </row>
    <row r="20" spans="1:2" x14ac:dyDescent="0.3">
      <c r="A20" s="11">
        <v>45922</v>
      </c>
      <c r="B20">
        <v>8</v>
      </c>
    </row>
    <row r="21" spans="1:2" x14ac:dyDescent="0.3">
      <c r="A21" s="11">
        <v>45923</v>
      </c>
      <c r="B21">
        <v>8</v>
      </c>
    </row>
    <row r="22" spans="1:2" x14ac:dyDescent="0.3">
      <c r="A22" s="11">
        <v>45924</v>
      </c>
      <c r="B22">
        <v>8</v>
      </c>
    </row>
    <row r="23" spans="1:2" x14ac:dyDescent="0.3">
      <c r="A23" s="11">
        <v>45925</v>
      </c>
      <c r="B23">
        <v>8</v>
      </c>
    </row>
    <row r="24" spans="1:2" x14ac:dyDescent="0.3">
      <c r="A24" s="11">
        <v>45926</v>
      </c>
      <c r="B24">
        <v>8</v>
      </c>
    </row>
    <row r="25" spans="1:2" x14ac:dyDescent="0.3">
      <c r="A25" s="11">
        <v>45929</v>
      </c>
      <c r="B25">
        <v>8</v>
      </c>
    </row>
    <row r="26" spans="1:2" x14ac:dyDescent="0.3">
      <c r="A26" s="11">
        <v>45930</v>
      </c>
      <c r="B26">
        <v>8</v>
      </c>
    </row>
    <row r="27" spans="1:2" x14ac:dyDescent="0.3">
      <c r="A27" s="10" t="s">
        <v>21</v>
      </c>
      <c r="B27">
        <v>176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35B668EC5EC438B3606758EABB404" ma:contentTypeVersion="2" ma:contentTypeDescription="Crear nuevo documento." ma:contentTypeScope="" ma:versionID="3d342e9da40ea29d7cdbedf2e94189bf">
  <xsd:schema xmlns:xsd="http://www.w3.org/2001/XMLSchema" xmlns:xs="http://www.w3.org/2001/XMLSchema" xmlns:p="http://schemas.microsoft.com/office/2006/metadata/properties" xmlns:ns2="3cce8931-1ee1-4db2-a960-d3d6d77929c8" targetNamespace="http://schemas.microsoft.com/office/2006/metadata/properties" ma:root="true" ma:fieldsID="871a7c447be8d0729833dfe179fcad91" ns2:_="">
    <xsd:import namespace="3cce8931-1ee1-4db2-a960-d3d6d77929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8931-1ee1-4db2-a960-d3d6d7792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A560C-45BA-4618-ADD8-D6C3E27A5AFD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cce8931-1ee1-4db2-a960-d3d6d77929c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B4CD14-7172-4D8A-A9CD-2AB818B18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8931-1ee1-4db2-a960-d3d6d77929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DFC4B2-B3E4-4629-8A74-496E844950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Revelo Echeverría Francisco Ramón</dc:creator>
  <cp:keywords/>
  <dc:description/>
  <cp:lastModifiedBy>Diego Val</cp:lastModifiedBy>
  <cp:revision/>
  <dcterms:created xsi:type="dcterms:W3CDTF">2018-01-03T15:17:31Z</dcterms:created>
  <dcterms:modified xsi:type="dcterms:W3CDTF">2025-10-13T19:59:56Z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0x010100F4235B668EC5EC438B3606758EABB404</vt:lpwstr>
  </property>
  <property fmtid="{D5CDD505-2E9C-101B-9397-08002B2CF9AE}" pid="3" name="_dlc_DocIdItemGuid">
    <vt:lpwstr>1319af11-d6f8-4642-8278-edd44724049d</vt:lpwstr>
  </property>
  <property fmtid="{D5CDD505-2E9C-101B-9397-08002B2CF9AE}" pid="4" name="AuthorIds_UIVersion_512">
    <vt:lpwstr>33</vt:lpwstr>
  </property>
  <property fmtid="{D5CDD505-2E9C-101B-9397-08002B2CF9AE}" pid="5" name="AuthorIds_UIVersion_1536">
    <vt:lpwstr>31</vt:lpwstr>
  </property>
</Properties>
</file>