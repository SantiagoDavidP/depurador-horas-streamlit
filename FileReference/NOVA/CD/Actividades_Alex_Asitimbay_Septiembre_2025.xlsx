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val_grupobusiness_it/Documents/Staff Augmentation/Clientes/NOVA/Facturación/Setiembre25/CD/Reportes/"/>
    </mc:Choice>
  </mc:AlternateContent>
  <xr:revisionPtr revIDLastSave="3" documentId="13_ncr:1_{A0307739-8206-CD46-BF15-DDFC9CAC96CC}" xr6:coauthVersionLast="47" xr6:coauthVersionMax="47" xr10:uidLastSave="{2019C097-C908-4FBE-906A-3256D4505837}"/>
  <bookViews>
    <workbookView xWindow="-108" yWindow="-108" windowWidth="23256" windowHeight="12456" xr2:uid="{00000000-000D-0000-FFFF-FFFF00000000}"/>
  </bookViews>
  <sheets>
    <sheet name="Detalle" sheetId="29" r:id="rId1"/>
    <sheet name="Resumen" sheetId="30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9" l="1"/>
  <c r="A73" i="29"/>
</calcChain>
</file>

<file path=xl/sharedStrings.xml><?xml version="1.0" encoding="utf-8"?>
<sst xmlns="http://schemas.openxmlformats.org/spreadsheetml/2006/main" count="200" uniqueCount="60">
  <si>
    <t xml:space="preserve">          INFORME ACTIVIDADES</t>
  </si>
  <si>
    <t>Fecha del Informe:</t>
  </si>
  <si>
    <t>Tema del Informe:</t>
  </si>
  <si>
    <t>Informe de Actividades</t>
  </si>
  <si>
    <t>Periodo Informe:</t>
  </si>
  <si>
    <t>Empresa:</t>
  </si>
  <si>
    <t>Business IT</t>
  </si>
  <si>
    <t>Consultor:</t>
  </si>
  <si>
    <t>Trabajo Realizado</t>
  </si>
  <si>
    <t>#</t>
  </si>
  <si>
    <t>Proyecto, Requerimiento</t>
  </si>
  <si>
    <t>Actividad</t>
  </si>
  <si>
    <t>Fecha</t>
  </si>
  <si>
    <t>Horas</t>
  </si>
  <si>
    <t>Tipo Hora</t>
  </si>
  <si>
    <t>Célula de Atómicos Run</t>
  </si>
  <si>
    <t>Atómicos Run - Daily meeting</t>
  </si>
  <si>
    <t>HN</t>
  </si>
  <si>
    <t>Elaborado por:</t>
  </si>
  <si>
    <t>Aprobado por:</t>
  </si>
  <si>
    <t>Oswaldo Zuñiga</t>
  </si>
  <si>
    <t>Subgerente de Innovación y Nuevas Tecnologías</t>
  </si>
  <si>
    <t>Etiquetas de fila</t>
  </si>
  <si>
    <t>Sum of Horas</t>
  </si>
  <si>
    <t>Total general</t>
  </si>
  <si>
    <t>Alex Asitimbay</t>
  </si>
  <si>
    <t>Desarrollador Backend</t>
  </si>
  <si>
    <t>Refinamiento Atomicos</t>
  </si>
  <si>
    <t>Retrospectiva - Atomicos</t>
  </si>
  <si>
    <t>Pruebas en conjunto del flujo</t>
  </si>
  <si>
    <t>Pruebas en Test de Hub de seguros</t>
  </si>
  <si>
    <t>Ajusste de servicio para la aceptacion de ley de proteccion de datos</t>
  </si>
  <si>
    <t>Pruebas de Hub de seguros backend</t>
  </si>
  <si>
    <t>Se relaizaron pruebas y gestión para la salida por el pod de los servicios de salegateway en TEST</t>
  </si>
  <si>
    <t>Pruebas en QA de servicios y gestion y ajuste de mock en servicio de Ley de protección de datos ya que el servicio de banco no esta aceptando el formato ipv6</t>
  </si>
  <si>
    <t>Ajuste de documentación open api en la plataforma de banco del orquestador acorde a los lineamientos BIAN</t>
  </si>
  <si>
    <t>Validación de erro en el servicio de management</t>
  </si>
  <si>
    <t>Cambio de nombre de repos y proyectos acorde a gobierno de arquitectura de Banco Pichincha</t>
  </si>
  <si>
    <t>Validación de servicio de sesión</t>
  </si>
  <si>
    <t>01/09/2025 – 30/09/2025</t>
  </si>
  <si>
    <t>Refinamiento Atomicos y Ajuste de ley de protección de datos y validación de servicios en test, en conjunto con QA</t>
  </si>
  <si>
    <t>Prework Q4</t>
  </si>
  <si>
    <t>Prework Q4, Revisión HUB - Iphone y pruebas un iphone</t>
  </si>
  <si>
    <t>Pruebas de performance criptografy</t>
  </si>
  <si>
    <t>pruebas performance de insurance management</t>
  </si>
  <si>
    <t>Ajuste de credenciales kafka en test de micros</t>
  </si>
  <si>
    <t>Pruebas conjunto performance</t>
  </si>
  <si>
    <t>Pruebas de performance con Banco</t>
  </si>
  <si>
    <t>Pruebas de performance del orquestador</t>
  </si>
  <si>
    <t>Revisión de seguridad para pruebas de los 4 microservicios desarrollados</t>
  </si>
  <si>
    <t>Ajuste de pod de servicio de orquestador para pruebas de performance</t>
  </si>
  <si>
    <t>Pruebas de performance de servicio orquestador</t>
  </si>
  <si>
    <t>Revisión de servicios de insurance management y prueba de los mismos con seguridad de banco</t>
  </si>
  <si>
    <t>Revisión de servicios de encriptación y prueba de los mismos con seguridad de banco</t>
  </si>
  <si>
    <t>Revisión de servicios de orquestador y prueba de los mismos con seguridad de banco</t>
  </si>
  <si>
    <t>Ajuste de cabeceras que fueron validadas por seguridad de banco de los 3 microservicios</t>
  </si>
  <si>
    <t>Ajuste de excepciones de servicio insurance management</t>
  </si>
  <si>
    <t>Ajuste de excepciones de servicio orquestador</t>
  </si>
  <si>
    <t xml:space="preserve">Prework Q4, Pruebas de seguridad de softoken en servicio de orquestador y pruebas de flujos </t>
  </si>
  <si>
    <t>Prework Q4, Solicitudes de generación de credenciales en key vault de banco para redis cache y kafka y revisión con seguridad servicios de softoken y process transaction en insurance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</si>
</sst>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1">
    <xf numFmtId="0" fontId="0" fillId="0" borderId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6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20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9" fillId="0" borderId="13" applyNumberFormat="0" applyFill="0" applyAlignment="0" applyProtection="0"/>
    <xf numFmtId="0" fontId="10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4" fillId="8" borderId="15" applyNumberFormat="0" applyAlignment="0" applyProtection="0"/>
    <xf numFmtId="0" fontId="15" fillId="9" borderId="16" applyNumberFormat="0" applyAlignment="0" applyProtection="0"/>
    <xf numFmtId="0" fontId="16" fillId="9" borderId="15" applyNumberFormat="0" applyAlignment="0" applyProtection="0"/>
    <xf numFmtId="0" fontId="17" fillId="0" borderId="17" applyNumberFormat="0" applyFill="0" applyAlignment="0" applyProtection="0"/>
    <xf numFmtId="0" fontId="3" fillId="10" borderId="18" applyNumberFormat="0" applyAlignment="0" applyProtection="0"/>
    <xf numFmtId="0" fontId="18" fillId="0" borderId="0" applyNumberFormat="0" applyFill="0" applyBorder="0" applyAlignment="0" applyProtection="0"/>
    <xf numFmtId="0" fontId="1" fillId="11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42">
    <xf numFmtId="0" fontId="0" fillId="0" borderId="0" xfId="0"/>
    <xf numFmtId="0" fontId="2" fillId="3" borderId="6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36" borderId="0" xfId="0" applyFill="1"/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1" fillId="3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 wrapText="1"/>
    </xf>
    <xf numFmtId="14" fontId="21" fillId="0" borderId="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81">
    <cellStyle name="20% - Énfasis1" xfId="19" xr:uid="{00000000-0005-0000-0000-000000000000}"/>
    <cellStyle name="20% - Énfasis1 2" xfId="58" xr:uid="{00000000-0005-0000-0000-000001000000}"/>
    <cellStyle name="20% - Énfasis2" xfId="23" xr:uid="{00000000-0005-0000-0000-000002000000}"/>
    <cellStyle name="20% - Énfasis2 2" xfId="62" xr:uid="{00000000-0005-0000-0000-000003000000}"/>
    <cellStyle name="20% - Énfasis3" xfId="27" xr:uid="{00000000-0005-0000-0000-000004000000}"/>
    <cellStyle name="20% - Énfasis3 2" xfId="66" xr:uid="{00000000-0005-0000-0000-000005000000}"/>
    <cellStyle name="20% - Énfasis4" xfId="31" xr:uid="{00000000-0005-0000-0000-000006000000}"/>
    <cellStyle name="20% - Énfasis4 2" xfId="70" xr:uid="{00000000-0005-0000-0000-000007000000}"/>
    <cellStyle name="20% - Énfasis5" xfId="35" xr:uid="{00000000-0005-0000-0000-000008000000}"/>
    <cellStyle name="20% - Énfasis5 2" xfId="74" xr:uid="{00000000-0005-0000-0000-000009000000}"/>
    <cellStyle name="20% - Énfasis6" xfId="39" xr:uid="{00000000-0005-0000-0000-00000A000000}"/>
    <cellStyle name="20% - Énfasis6 2" xfId="78" xr:uid="{00000000-0005-0000-0000-00000B000000}"/>
    <cellStyle name="40% - Énfasis1" xfId="20" xr:uid="{00000000-0005-0000-0000-00000C000000}"/>
    <cellStyle name="40% - Énfasis1 2" xfId="59" xr:uid="{00000000-0005-0000-0000-00000D000000}"/>
    <cellStyle name="40% - Énfasis2" xfId="24" xr:uid="{00000000-0005-0000-0000-00000E000000}"/>
    <cellStyle name="40% - Énfasis2 2" xfId="63" xr:uid="{00000000-0005-0000-0000-00000F000000}"/>
    <cellStyle name="40% - Énfasis3" xfId="28" xr:uid="{00000000-0005-0000-0000-000010000000}"/>
    <cellStyle name="40% - Énfasis3 2" xfId="67" xr:uid="{00000000-0005-0000-0000-000011000000}"/>
    <cellStyle name="40% - Énfasis4" xfId="32" xr:uid="{00000000-0005-0000-0000-000012000000}"/>
    <cellStyle name="40% - Énfasis4 2" xfId="71" xr:uid="{00000000-0005-0000-0000-000013000000}"/>
    <cellStyle name="40% - Énfasis5" xfId="36" xr:uid="{00000000-0005-0000-0000-000014000000}"/>
    <cellStyle name="40% - Énfasis5 2" xfId="75" xr:uid="{00000000-0005-0000-0000-000015000000}"/>
    <cellStyle name="40% - Énfasis6" xfId="40" xr:uid="{00000000-0005-0000-0000-000016000000}"/>
    <cellStyle name="40% - Énfasis6 2" xfId="79" xr:uid="{00000000-0005-0000-0000-000017000000}"/>
    <cellStyle name="60% - Énfasis1" xfId="21" xr:uid="{00000000-0005-0000-0000-000018000000}"/>
    <cellStyle name="60% - Énfasis1 2" xfId="60" xr:uid="{00000000-0005-0000-0000-000019000000}"/>
    <cellStyle name="60% - Énfasis2" xfId="25" xr:uid="{00000000-0005-0000-0000-00001A000000}"/>
    <cellStyle name="60% - Énfasis2 2" xfId="64" xr:uid="{00000000-0005-0000-0000-00001B000000}"/>
    <cellStyle name="60% - Énfasis3" xfId="29" xr:uid="{00000000-0005-0000-0000-00001C000000}"/>
    <cellStyle name="60% - Énfasis3 2" xfId="68" xr:uid="{00000000-0005-0000-0000-00001D000000}"/>
    <cellStyle name="60% - Énfasis4" xfId="33" xr:uid="{00000000-0005-0000-0000-00001E000000}"/>
    <cellStyle name="60% - Énfasis4 2" xfId="72" xr:uid="{00000000-0005-0000-0000-00001F000000}"/>
    <cellStyle name="60% - Énfasis5" xfId="37" xr:uid="{00000000-0005-0000-0000-000020000000}"/>
    <cellStyle name="60% - Énfasis5 2" xfId="76" xr:uid="{00000000-0005-0000-0000-000021000000}"/>
    <cellStyle name="60% - Énfasis6" xfId="41" xr:uid="{00000000-0005-0000-0000-000022000000}"/>
    <cellStyle name="60% - Énfasis6 2" xfId="80" xr:uid="{00000000-0005-0000-0000-000023000000}"/>
    <cellStyle name="Bueno" xfId="6" xr:uid="{00000000-0005-0000-0000-000024000000}"/>
    <cellStyle name="Bueno 2" xfId="47" xr:uid="{00000000-0005-0000-0000-000025000000}"/>
    <cellStyle name="Cálculo" xfId="11" xr:uid="{00000000-0005-0000-0000-000026000000}"/>
    <cellStyle name="Cálculo 2" xfId="51" xr:uid="{00000000-0005-0000-0000-000027000000}"/>
    <cellStyle name="Celda de comprobación" xfId="13" xr:uid="{00000000-0005-0000-0000-000028000000}"/>
    <cellStyle name="Celda de comprobación 2" xfId="53" xr:uid="{00000000-0005-0000-0000-000029000000}"/>
    <cellStyle name="Celda vinculada" xfId="12" xr:uid="{00000000-0005-0000-0000-00002A000000}"/>
    <cellStyle name="Celda vinculada 2" xfId="52" xr:uid="{00000000-0005-0000-0000-00002B000000}"/>
    <cellStyle name="Encabezado 1" xfId="2" xr:uid="{00000000-0005-0000-0000-00002C000000}"/>
    <cellStyle name="Encabezado 1 2" xfId="43" xr:uid="{00000000-0005-0000-0000-00002D000000}"/>
    <cellStyle name="Encabezado 4" xfId="5" xr:uid="{00000000-0005-0000-0000-00002E000000}"/>
    <cellStyle name="Encabezado 4 2" xfId="46" xr:uid="{00000000-0005-0000-0000-00002F000000}"/>
    <cellStyle name="Énfasis1" xfId="18" xr:uid="{00000000-0005-0000-0000-000030000000}"/>
    <cellStyle name="Énfasis1 2" xfId="57" xr:uid="{00000000-0005-0000-0000-000031000000}"/>
    <cellStyle name="Énfasis2" xfId="22" xr:uid="{00000000-0005-0000-0000-000032000000}"/>
    <cellStyle name="Énfasis2 2" xfId="61" xr:uid="{00000000-0005-0000-0000-000033000000}"/>
    <cellStyle name="Énfasis3" xfId="26" xr:uid="{00000000-0005-0000-0000-000034000000}"/>
    <cellStyle name="Énfasis3 2" xfId="65" xr:uid="{00000000-0005-0000-0000-000035000000}"/>
    <cellStyle name="Énfasis4" xfId="30" xr:uid="{00000000-0005-0000-0000-000036000000}"/>
    <cellStyle name="Énfasis4 2" xfId="69" xr:uid="{00000000-0005-0000-0000-000037000000}"/>
    <cellStyle name="Énfasis5" xfId="34" xr:uid="{00000000-0005-0000-0000-000038000000}"/>
    <cellStyle name="Énfasis5 2" xfId="73" xr:uid="{00000000-0005-0000-0000-000039000000}"/>
    <cellStyle name="Énfasis6" xfId="38" xr:uid="{00000000-0005-0000-0000-00003A000000}"/>
    <cellStyle name="Énfasis6 2" xfId="77" xr:uid="{00000000-0005-0000-0000-00003B000000}"/>
    <cellStyle name="Entrada" xfId="9" xr:uid="{00000000-0005-0000-0000-00003C000000}"/>
    <cellStyle name="Entrada 2" xfId="49" xr:uid="{00000000-0005-0000-0000-00003D000000}"/>
    <cellStyle name="Incorrecto" xfId="7" xr:uid="{00000000-0005-0000-0000-00003E000000}"/>
    <cellStyle name="Incorrecto 2" xfId="48" xr:uid="{00000000-0005-0000-0000-00003F000000}"/>
    <cellStyle name="Neutral" xfId="8" builtinId="28" customBuiltin="1"/>
    <cellStyle name="Normal" xfId="0" builtinId="0"/>
    <cellStyle name="Notas" xfId="15" xr:uid="{00000000-0005-0000-0000-000042000000}"/>
    <cellStyle name="Notas 2" xfId="55" xr:uid="{00000000-0005-0000-0000-000043000000}"/>
    <cellStyle name="Salida" xfId="10" xr:uid="{00000000-0005-0000-0000-000044000000}"/>
    <cellStyle name="Salida 2" xfId="50" xr:uid="{00000000-0005-0000-0000-000045000000}"/>
    <cellStyle name="Texto de advertencia" xfId="14" xr:uid="{00000000-0005-0000-0000-000046000000}"/>
    <cellStyle name="Texto de advertencia 2" xfId="54" xr:uid="{00000000-0005-0000-0000-000047000000}"/>
    <cellStyle name="Texto explicativo" xfId="16" xr:uid="{00000000-0005-0000-0000-000048000000}"/>
    <cellStyle name="Texto explicativo 2" xfId="56" xr:uid="{00000000-0005-0000-0000-000049000000}"/>
    <cellStyle name="Título" xfId="1" xr:uid="{00000000-0005-0000-0000-00004A000000}"/>
    <cellStyle name="Título 2" xfId="3" xr:uid="{00000000-0005-0000-0000-00004B000000}"/>
    <cellStyle name="Título 2 2" xfId="44" xr:uid="{00000000-0005-0000-0000-00004C000000}"/>
    <cellStyle name="Título 3" xfId="4" xr:uid="{00000000-0005-0000-0000-00004D000000}"/>
    <cellStyle name="Título 3 2" xfId="45" xr:uid="{00000000-0005-0000-0000-00004E000000}"/>
    <cellStyle name="Título 4" xfId="42" xr:uid="{00000000-0005-0000-0000-00004F00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231775</xdr:colOff>
      <xdr:row>0</xdr:row>
      <xdr:rowOff>38100</xdr:rowOff>
    </xdr:from>
    <xdr:to>
      <xdr:col>1</xdr:col>
      <xdr:colOff>1045992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C76CC-D4E4-46C8-B4FA-D0EE478E65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38100"/>
          <a:ext cx="1246505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Asitimbay" refreshedDate="45943.709109606483" createdVersion="7" refreshedVersion="8" minRefreshableVersion="3" recordCount="62" xr:uid="{00000000-000A-0000-FFFF-FFFF00000000}">
  <cacheSource type="worksheet">
    <worksheetSource ref="A8:F66" sheet="Detalle"/>
  </cacheSource>
  <cacheFields count="6">
    <cacheField name="#" numFmtId="0">
      <sharedItems containsSemiMixedTypes="0" containsString="0" containsNumber="1" containsInteger="1" minValue="1" maxValue="62"/>
    </cacheField>
    <cacheField name="Proyecto, Requerimiento" numFmtId="0">
      <sharedItems/>
    </cacheField>
    <cacheField name="Actividad" numFmtId="0">
      <sharedItems/>
    </cacheField>
    <cacheField name="Fecha" numFmtId="14">
      <sharedItems containsSemiMixedTypes="0" containsNonDate="0" containsDate="1" containsString="0" minDate="2021-08-02T00:00:00" maxDate="2025-10-01T00:00:00" count="778"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08-01T00:00:00" u="1"/>
        <d v="2025-08-04T00:00:00" u="1"/>
        <d v="2025-08-05T00:00:00" u="1"/>
        <d v="2025-08-06T00:00:00" u="1"/>
        <d v="2025-08-07T00:00:00" u="1"/>
        <d v="2025-08-08T00:00:00" u="1"/>
        <d v="2025-08-12T00:00:00" u="1"/>
        <d v="2025-08-13T00:00:00" u="1"/>
        <d v="2025-08-14T00:00:00" u="1"/>
        <d v="2025-08-15T00:00:00" u="1"/>
        <d v="2025-08-18T00:00:00" u="1"/>
        <d v="2025-08-19T00:00:00" u="1"/>
        <d v="2025-08-20T00:00:00" u="1"/>
        <d v="2025-08-21T00:00:00" u="1"/>
        <d v="2025-08-22T00:00:00" u="1"/>
        <d v="2025-08-25T00:00:00" u="1"/>
        <d v="2025-08-26T00:00:00" u="1"/>
        <d v="2025-08-27T00:00:00" u="1"/>
        <d v="2025-08-28T00:00:00" u="1"/>
        <d v="2025-08-29T00:00:00" u="1"/>
        <d v="2025-07-08T00:00:00" u="1"/>
        <d v="2025-07-01T00:00:00" u="1"/>
        <d v="2025-07-02T00:00:00" u="1"/>
        <d v="2025-07-03T00:00:00" u="1"/>
        <d v="2025-07-04T00:00:00" u="1"/>
        <d v="2025-07-07T00:00:00" u="1"/>
        <d v="2025-07-09T00:00:00" u="1"/>
        <d v="2025-07-10T00:00:00" u="1"/>
        <d v="2025-07-11T00:00:00" u="1"/>
        <d v="2025-07-14T00:00:00" u="1"/>
        <d v="2025-07-15T00:00:00" u="1"/>
        <d v="2025-07-16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5-01T00:00:00" u="1"/>
        <d v="2025-05-05T00:00:00" u="1"/>
        <d v="2025-05-06T00:00:00" u="1"/>
        <d v="2025-05-07T00:00:00" u="1"/>
        <d v="2025-05-08T00:00:00" u="1"/>
        <d v="2025-05-09T00:00:00" u="1"/>
        <d v="2025-05-12T00:00:00" u="1"/>
        <d v="2025-05-13T00:00:00" u="1"/>
        <d v="2025-05-14T00:00:00" u="1"/>
        <d v="2025-05-15T00:00:00" u="1"/>
        <d v="2025-05-16T00:00:00" u="1"/>
        <d v="2025-05-19T00:00:00" u="1"/>
        <d v="2025-05-20T00:00:00" u="1"/>
        <d v="2025-05-21T00:00:00" u="1"/>
        <d v="2025-05-22T00:00:00" u="1"/>
        <d v="2025-05-26T00:00:00" u="1"/>
        <d v="2025-05-27T00:00:00" u="1"/>
        <d v="2025-05-28T00:00:00" u="1"/>
        <d v="2025-05-29T00:00:00" u="1"/>
        <d v="2025-05-30T00:00:00" u="1"/>
        <d v="2025-04-14T00:00:00" u="1"/>
        <d v="2025-04-15T00:00:00" u="1"/>
        <d v="2025-04-16T00:00:00" u="1"/>
        <d v="2025-04-17T00:00:00" u="1"/>
        <d v="2025-04-21T00:00:00" u="1"/>
        <d v="2025-04-22T00:00:00" u="1"/>
        <d v="2025-04-23T00:00:00" u="1"/>
        <d v="2025-04-24T00:00:00" u="1"/>
        <d v="2025-04-25T00:00:00" u="1"/>
        <d v="2025-04-28T00:00:00" u="1"/>
        <d v="2025-04-29T00:00:00" u="1"/>
        <d v="2025-04-30T00:00:00" u="1"/>
        <d v="2025-03-05T00:00:00" u="1"/>
        <d v="2025-03-06T00:00:00" u="1"/>
        <d v="2025-03-07T00:00:00" u="1"/>
        <d v="2025-03-10T00:00:00" u="1"/>
        <d v="2025-03-11T00:00:00" u="1"/>
        <d v="2025-03-12T00:00:00" u="1"/>
        <d v="2025-03-14T00:00:00" u="1"/>
        <d v="2025-03-01T00:00:00" u="1"/>
        <d v="2025-03-03T00:00:00" u="1"/>
        <d v="2025-03-04T00:00:00" u="1"/>
        <d v="2025-02-03T00:00:00" u="1"/>
        <d v="2025-02-04T00:00:00" u="1"/>
        <d v="2025-02-05T00:00:00" u="1"/>
        <d v="2025-02-06T00:00:00" u="1"/>
        <d v="2025-02-07T00:00:00" u="1"/>
        <d v="2025-02-10T00:00:00" u="1"/>
        <d v="2025-02-11T00:00:00" u="1"/>
        <d v="2025-02-12T00:00:00" u="1"/>
        <d v="2025-02-13T00:00:00" u="1"/>
        <d v="2025-02-14T00:00:00" u="1"/>
        <d v="2025-02-17T00:00:00" u="1"/>
        <d v="2025-02-18T00:00:00" u="1"/>
        <d v="2025-02-19T00:00:00" u="1"/>
        <d v="2025-02-20T00:00:00" u="1"/>
        <d v="2025-02-21T00:00:00" u="1"/>
        <d v="2025-02-24T00:00:00" u="1"/>
        <d v="2025-02-25T00:00:00" u="1"/>
        <d v="2025-02-26T00:00:00" u="1"/>
        <d v="2025-02-27T00:00:00" u="1"/>
        <d v="2025-02-28T00:00:00" u="1"/>
        <d v="2025-01-06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27T00:00:00" u="1"/>
        <d v="2025-01-28T00:00:00" u="1"/>
        <d v="2025-01-29T00:00:00" u="1"/>
        <d v="2025-01-30T00:00:00" u="1"/>
        <d v="2025-01-31T00:00:00" u="1"/>
        <d v="2024-12-02T00:00:00" u="1"/>
        <d v="2024-12-03T00:00:00" u="1"/>
        <d v="2024-12-04T00:00:00" u="1"/>
        <d v="2024-12-05T00:00:00" u="1"/>
        <d v="2024-12-09T00:00:00" u="1"/>
        <d v="2024-12-10T00:00:00" u="1"/>
        <d v="2024-12-11T00:00:00" u="1"/>
        <d v="2024-12-12T00:00:00" u="1"/>
        <d v="2024-12-13T00:00:00" u="1"/>
        <d v="2024-12-16T00:00:00" u="1"/>
        <d v="2024-12-17T00:00:00" u="1"/>
        <d v="2024-12-18T00:00:00" u="1"/>
        <d v="2024-12-19T00:00:00" u="1"/>
        <d v="2024-12-20T00:00:00" u="1"/>
        <d v="2024-12-23T00:00:00" u="1"/>
        <d v="2024-12-24T00:00:00" u="1"/>
        <d v="2024-12-26T00:00:00" u="1"/>
        <d v="2024-12-27T00:00:00" u="1"/>
        <d v="2024-12-30T00:00:00" u="1"/>
        <d v="2024-12-31T00:00:00" u="1"/>
        <d v="2024-12-28T00:00:00" u="1"/>
        <d v="2024-11-05T00:00:00" u="1"/>
        <d v="2024-11-06T00:00:00" u="1"/>
        <d v="2024-11-07T00:00:00" u="1"/>
        <d v="2024-11-08T00:00:00" u="1"/>
        <d v="2024-11-11T00:00:00" u="1"/>
        <d v="2024-11-12T00:00:00" u="1"/>
        <d v="2024-11-13T00:00:00" u="1"/>
        <d v="2024-11-14T00:00:00" u="1"/>
        <d v="2024-11-15T00:00:00" u="1"/>
        <d v="2024-11-18T00:00:00" u="1"/>
        <d v="2024-11-19T00:00:00" u="1"/>
        <d v="2024-11-20T00:00:00" u="1"/>
        <d v="2024-11-21T00:00:00" u="1"/>
        <d v="2024-11-22T00:00:00" u="1"/>
        <d v="2024-11-25T00:00:00" u="1"/>
        <d v="2024-11-26T00:00:00" u="1"/>
        <d v="2024-11-27T00:00:00" u="1"/>
        <d v="2024-11-28T00:00:00" u="1"/>
        <d v="2024-11-29T00:00:00" u="1"/>
        <d v="2024-09-02T00:00:00" u="1"/>
        <d v="2024-09-03T00:00:00" u="1"/>
        <d v="2024-09-04T00:00:00" u="1"/>
        <d v="2024-09-05T00:00:00" u="1"/>
        <d v="2024-09-06T00:00:00" u="1"/>
        <d v="2024-09-09T00:00:00" u="1"/>
        <d v="2024-09-10T00:00:00" u="1"/>
        <d v="2024-09-11T00:00:00" u="1"/>
        <d v="2024-09-12T00:00:00" u="1"/>
        <d v="2024-09-13T00:00:00" u="1"/>
        <d v="2024-09-16T00:00:00" u="1"/>
        <d v="2024-09-17T00:00:00" u="1"/>
        <d v="2024-09-18T00:00:00" u="1"/>
        <d v="2024-09-19T00:00:00" u="1"/>
        <d v="2024-09-20T00:00:00" u="1"/>
        <d v="2024-09-23T00:00:00" u="1"/>
        <d v="2024-09-24T00:00:00" u="1"/>
        <d v="2024-09-25T00:00:00" u="1"/>
        <d v="2024-09-26T00:00:00" u="1"/>
        <d v="2024-09-27T00:00:00" u="1"/>
        <d v="2024-09-30T00:00:00" u="1"/>
        <d v="2022-09-29T00:00:00" u="1"/>
        <d v="2022-11-21T00:00:00" u="1"/>
        <d v="2021-12-17T00:00:00" u="1"/>
        <d v="2023-11-21T00:00:00" u="1"/>
        <d v="2022-11-23T00:00:00" u="1"/>
        <d v="2023-11-23T00:00:00" u="1"/>
        <d v="2022-12-19T00:00:00" u="1"/>
        <d v="2023-12-19T00:00:00" u="1"/>
        <d v="2022-11-25T00:00:00" u="1"/>
        <d v="2021-12-21T00:00:00" u="1"/>
        <d v="2023-11-25T00:00:00" u="1"/>
        <d v="2022-12-21T00:00:00" u="1"/>
        <d v="2023-12-21T00:00:00" u="1"/>
        <d v="2024-01-02T00:00:00" u="1"/>
        <d v="2021-12-23T00:00:00" u="1"/>
        <d v="2023-11-27T00:00:00" u="1"/>
        <d v="2022-12-23T00:00:00" u="1"/>
        <d v="2022-01-04T00:00:00" u="1"/>
        <d v="2023-01-04T00:00:00" u="1"/>
        <d v="2024-01-04T00:00:00" u="1"/>
        <d v="2022-11-29T00:00:00" u="1"/>
        <d v="2023-11-29T00:00:00" u="1"/>
        <d v="2022-01-06T00:00:00" u="1"/>
        <d v="2023-01-06T00:00:00" u="1"/>
        <d v="2022-02-02T00:00:00" u="1"/>
        <d v="2023-02-02T00:00:00" u="1"/>
        <d v="2024-02-02T00:00:00" u="1"/>
        <d v="2021-12-27T00:00:00" u="1"/>
        <d v="2022-12-27T00:00:00" u="1"/>
        <d v="2023-12-27T00:00:00" u="1"/>
        <d v="2022-02-04T00:00:00" u="1"/>
        <d v="2024-01-08T00:00:00" u="1"/>
        <d v="2021-12-29T00:00:00" u="1"/>
        <d v="2022-12-29T00:00:00" u="1"/>
        <d v="2023-12-29T00:00:00" u="1"/>
        <d v="2022-01-10T00:00:00" u="1"/>
        <d v="2023-01-10T00:00:00" u="1"/>
        <d v="2024-01-10T00:00:00" u="1"/>
        <d v="2023-02-06T00:00:00" u="1"/>
        <d v="2022-03-02T00:00:00" u="1"/>
        <d v="2024-02-06T00:00:00" u="1"/>
        <d v="2023-03-02T00:00:00" u="1"/>
        <d v="2022-01-12T00:00:00" u="1"/>
        <d v="2023-01-12T00:00:00" u="1"/>
        <d v="2022-02-08T00:00:00" u="1"/>
        <d v="2024-01-12T00:00:00" u="1"/>
        <d v="2023-02-08T00:00:00" u="1"/>
        <d v="2022-03-04T00:00:00" u="1"/>
        <d v="2024-02-08T00:00:00" u="1"/>
        <d v="2024-03-04T00:00:00" u="1"/>
        <d v="2022-01-14T00:00:00" u="1"/>
        <d v="2022-02-10T00:00:00" u="1"/>
        <d v="2023-02-10T00:00:00" u="1"/>
        <d v="2023-03-06T00:00:00" u="1"/>
        <d v="2024-03-06T00:00:00" u="1"/>
        <d v="2024-04-02T00:00:00" u="1"/>
        <d v="2023-01-16T00:00:00" u="1"/>
        <d v="2024-01-16T00:00:00" u="1"/>
        <d v="2022-03-08T00:00:00" u="1"/>
        <d v="2023-03-08T00:00:00" u="1"/>
        <d v="2024-03-08T00:00:00" u="1"/>
        <d v="2024-04-04T00:00:00" u="1"/>
        <d v="2022-01-18T00:00:00" u="1"/>
        <d v="2023-01-18T00:00:00" u="1"/>
        <d v="2022-02-14T00:00:00" u="1"/>
        <d v="2023-02-14T00:00:00" u="1"/>
        <d v="2022-03-10T00:00:00" u="1"/>
        <d v="2024-02-14T00:00:00" u="1"/>
        <d v="2023-03-10T00:00:00" u="1"/>
        <d v="2024-03-10T00:00:00" u="1"/>
        <d v="2023-05-02T00:00:00" u="1"/>
        <d v="2024-05-02T00:00:00" u="1"/>
        <d v="2022-01-20T00:00:00" u="1"/>
        <d v="2023-01-20T00:00:00" u="1"/>
        <d v="2022-02-16T00:00:00" u="1"/>
        <d v="2023-02-16T00:00:00" u="1"/>
        <d v="2024-02-16T00:00:00" u="1"/>
        <d v="2024-03-12T00:00:00" u="1"/>
        <d v="2022-05-04T00:00:00" u="1"/>
        <d v="2024-04-08T00:00:00" u="1"/>
        <d v="2023-05-04T00:00:00" u="1"/>
        <d v="2022-02-18T00:00:00" u="1"/>
        <d v="2022-03-14T00:00:00" u="1"/>
        <d v="2023-03-14T00:00:00" u="1"/>
        <d v="2024-03-14T00:00:00" u="1"/>
        <d v="2022-05-06T00:00:00" u="1"/>
        <d v="2024-04-10T00:00:00" u="1"/>
        <d v="2022-06-02T00:00:00" u="1"/>
        <d v="2024-05-06T00:00:00" u="1"/>
        <d v="2022-01-24T00:00:00" u="1"/>
        <d v="2023-01-24T00:00:00" u="1"/>
        <d v="2022-03-16T00:00:00" u="1"/>
        <d v="2024-02-20T00:00:00" u="1"/>
        <d v="2023-03-16T00:00:00" u="1"/>
        <d v="2024-03-16T00:00:00" u="1"/>
        <d v="2024-04-12T00:00:00" u="1"/>
        <d v="2023-05-08T00:00:00" u="1"/>
        <d v="2024-05-08T00:00:00" u="1"/>
        <d v="2024-06-04T00:00:00" u="1"/>
        <d v="2022-01-26T00:00:00" u="1"/>
        <d v="2023-01-26T00:00:00" u="1"/>
        <d v="2022-02-22T00:00:00" u="1"/>
        <d v="2023-02-22T00:00:00" u="1"/>
        <d v="2022-03-18T00:00:00" u="1"/>
        <d v="2024-02-22T00:00:00" u="1"/>
        <d v="2024-03-18T00:00:00" u="1"/>
        <d v="2022-05-10T00:00:00" u="1"/>
        <d v="2023-05-10T00:00:00" u="1"/>
        <d v="2022-06-06T00:00:00" u="1"/>
        <d v="2024-05-10T00:00:00" u="1"/>
        <d v="2024-06-06T00:00:00" u="1"/>
        <d v="2024-07-02T00:00:00" u="1"/>
        <d v="2022-01-28T00:00:00" u="1"/>
        <d v="2022-02-24T00:00:00" u="1"/>
        <d v="2023-02-24T00:00:00" u="1"/>
        <d v="2023-03-20T00:00:00" u="1"/>
        <d v="2024-03-20T00:00:00" u="1"/>
        <d v="2022-05-12T00:00:00" u="1"/>
        <d v="2024-04-16T00:00:00" u="1"/>
        <d v="2023-05-12T00:00:00" u="1"/>
        <d v="2022-06-08T00:00:00" u="1"/>
        <d v="2022-07-04T00:00:00" u="1"/>
        <d v="2023-07-04T00:00:00" u="1"/>
        <d v="2024-07-04T00:00:00" u="1"/>
        <d v="2023-01-30T00:00:00" u="1"/>
        <d v="2022-03-22T00:00:00" u="1"/>
        <d v="2024-02-26T00:00:00" u="1"/>
        <d v="2023-03-22T00:00:00" u="1"/>
        <d v="2024-03-22T00:00:00" u="1"/>
        <d v="2024-04-18T00:00:00" u="1"/>
        <d v="2022-06-10T00:00:00" u="1"/>
        <d v="2024-05-14T00:00:00" u="1"/>
        <d v="2022-07-06T00:00:00" u="1"/>
        <d v="2024-06-10T00:00:00" u="1"/>
        <d v="2021-08-02T00:00:00" u="1"/>
        <d v="2023-07-06T00:00:00" u="1"/>
        <d v="2022-08-02T00:00:00" u="1"/>
        <d v="2024-08-02T00:00:00" u="1"/>
        <d v="2023-02-28T00:00:00" u="1"/>
        <d v="2022-03-24T00:00:00" u="1"/>
        <d v="2024-02-28T00:00:00" u="1"/>
        <d v="2023-03-24T00:00:00" u="1"/>
        <d v="2022-05-16T00:00:00" u="1"/>
        <d v="2023-05-16T00:00:00" u="1"/>
        <d v="2024-05-16T00:00:00" u="1"/>
        <d v="2022-07-08T00:00:00" u="1"/>
        <d v="2024-06-12T00:00:00" u="1"/>
        <d v="2021-08-04T00:00:00" u="1"/>
        <d v="2022-08-04T00:00:00" u="1"/>
        <d v="2024-07-08T00:00:00" u="1"/>
        <d v="2024-03-26T00:00:00" u="1"/>
        <d v="2022-05-18T00:00:00" u="1"/>
        <d v="2024-04-22T00:00:00" u="1"/>
        <d v="2023-05-18T00:00:00" u="1"/>
        <d v="2022-06-14T00:00:00" u="1"/>
        <d v="2024-06-14T00:00:00" u="1"/>
        <d v="2021-08-06T00:00:00" u="1"/>
        <d v="2023-07-10T00:00:00" u="1"/>
        <d v="2024-07-10T00:00:00" u="1"/>
        <d v="2022-09-02T00:00:00" u="1"/>
        <d v="2024-08-06T00:00:00" u="1"/>
        <d v="2022-03-28T00:00:00" u="1"/>
        <d v="2023-03-28T00:00:00" u="1"/>
        <d v="2024-03-28T00:00:00" u="1"/>
        <d v="2022-05-20T00:00:00" u="1"/>
        <d v="2024-04-24T00:00:00" u="1"/>
        <d v="2022-06-16T00:00:00" u="1"/>
        <d v="2024-05-20T00:00:00" u="1"/>
        <d v="2022-07-12T00:00:00" u="1"/>
        <d v="2023-07-12T00:00:00" u="1"/>
        <d v="2022-08-08T00:00:00" u="1"/>
        <d v="2024-07-12T00:00:00" u="1"/>
        <d v="2024-08-08T00:00:00" u="1"/>
        <d v="2022-03-30T00:00:00" u="1"/>
        <d v="2023-03-30T00:00:00" u="1"/>
        <d v="2024-04-26T00:00:00" u="1"/>
        <d v="2023-05-22T00:00:00" u="1"/>
        <d v="2024-05-22T00:00:00" u="1"/>
        <d v="2022-07-14T00:00:00" u="1"/>
        <d v="2024-06-18T00:00:00" u="1"/>
        <d v="2021-08-10T00:00:00" u="1"/>
        <d v="2023-07-14T00:00:00" u="1"/>
        <d v="2022-08-10T00:00:00" u="1"/>
        <d v="2022-09-06T00:00:00" u="1"/>
        <d v="2022-05-24T00:00:00" u="1"/>
        <d v="2023-05-24T00:00:00" u="1"/>
        <d v="2022-06-20T00:00:00" u="1"/>
        <d v="2024-06-20T00:00:00" u="1"/>
        <d v="2021-08-12T00:00:00" u="1"/>
        <d v="2022-08-12T00:00:00" u="1"/>
        <d v="2024-07-16T00:00:00" u="1"/>
        <d v="2022-09-08T00:00:00" u="1"/>
        <d v="2024-08-12T00:00:00" u="1"/>
        <d v="2021-10-04T00:00:00" u="1"/>
        <d v="2022-05-26T00:00:00" u="1"/>
        <d v="2024-04-30T00:00:00" u="1"/>
        <d v="2023-05-26T00:00:00" u="1"/>
        <d v="2022-06-22T00:00:00" u="1"/>
        <d v="2022-07-18T00:00:00" u="1"/>
        <d v="2023-07-18T00:00:00" u="1"/>
        <d v="2024-07-18T00:00:00" u="1"/>
        <d v="2024-08-14T00:00:00" u="1"/>
        <d v="2021-10-06T00:00:00" u="1"/>
        <d v="2022-11-02T00:00:00" u="1"/>
        <d v="2022-06-24T00:00:00" u="1"/>
        <d v="2024-05-28T00:00:00" u="1"/>
        <d v="2022-07-20T00:00:00" u="1"/>
        <d v="2024-06-24T00:00:00" u="1"/>
        <d v="2021-08-16T00:00:00" u="1"/>
        <d v="2023-07-20T00:00:00" u="1"/>
        <d v="2022-08-16T00:00:00" u="1"/>
        <d v="2022-09-12T00:00:00" u="1"/>
        <d v="2024-08-16T00:00:00" u="1"/>
        <d v="2021-11-04T00:00:00" u="1"/>
        <d v="2022-05-30T00:00:00" u="1"/>
        <d v="2023-05-30T00:00:00" u="1"/>
        <d v="2024-05-30T00:00:00" u="1"/>
        <d v="2022-07-22T00:00:00" u="1"/>
        <d v="2024-06-26T00:00:00" u="1"/>
        <d v="2021-08-18T00:00:00" u="1"/>
        <d v="2022-08-18T00:00:00" u="1"/>
        <d v="2024-07-22T00:00:00" u="1"/>
        <d v="2022-09-14T00:00:00" u="1"/>
        <d v="2021-10-10T00:00:00" u="1"/>
        <d v="2021-12-02T00:00:00" u="1"/>
        <d v="2023-11-06T00:00:00" u="1"/>
        <d v="2022-12-02T00:00:00" u="1"/>
        <d v="2022-06-28T00:00:00" u="1"/>
        <d v="2024-06-28T00:00:00" u="1"/>
        <d v="2021-08-20T00:00:00" u="1"/>
        <d v="2023-07-24T00:00:00" u="1"/>
        <d v="2024-07-24T00:00:00" u="1"/>
        <d v="2022-09-16T00:00:00" u="1"/>
        <d v="2024-08-20T00:00:00" u="1"/>
        <d v="2021-11-08T00:00:00" u="1"/>
        <d v="2022-11-08T00:00:00" u="1"/>
        <d v="2023-11-08T00:00:00" u="1"/>
        <d v="2023-12-04T00:00:00" u="1"/>
        <d v="2022-06-30T00:00:00" u="1"/>
        <d v="2022-07-26T00:00:00" u="1"/>
        <d v="2023-07-26T00:00:00" u="1"/>
        <d v="2022-08-22T00:00:00" u="1"/>
        <d v="2024-07-26T00:00:00" u="1"/>
        <d v="2024-08-22T00:00:00" u="1"/>
        <d v="2021-10-14T00:00:00" u="1"/>
        <d v="2021-11-10T00:00:00" u="1"/>
        <d v="2022-11-10T00:00:00" u="1"/>
        <d v="2023-11-10T00:00:00" u="1"/>
        <d v="2022-12-06T00:00:00" u="1"/>
        <d v="2023-12-06T00:00:00" u="1"/>
        <d v="2022-07-28T00:00:00" u="1"/>
        <d v="2021-08-24T00:00:00" u="1"/>
        <d v="2023-07-28T00:00:00" u="1"/>
        <d v="2022-08-24T00:00:00" u="1"/>
        <d v="2022-09-20T00:00:00" u="1"/>
        <d v="2021-11-12T00:00:00" u="1"/>
        <d v="2021-12-08T00:00:00" u="1"/>
        <d v="2022-12-08T00:00:00" u="1"/>
        <d v="2021-08-26T00:00:00" u="1"/>
        <d v="2022-08-26T00:00:00" u="1"/>
        <d v="2024-07-30T00:00:00" u="1"/>
        <d v="2022-09-22T00:00:00" u="1"/>
        <d v="2024-08-26T00:00:00" u="1"/>
        <d v="2022-11-14T00:00:00" u="1"/>
        <d v="2021-12-10T00:00:00" u="1"/>
        <d v="2023-11-14T00:00:00" u="1"/>
        <d v="2024-08-28T00:00:00" u="1"/>
        <d v="2022-11-16T00:00:00" u="1"/>
        <d v="2023-11-16T00:00:00" u="1"/>
        <d v="2022-12-12T00:00:00" u="1"/>
        <d v="2023-12-12T00:00:00" u="1"/>
        <d v="2021-08-30T00:00:00" u="1"/>
        <d v="2022-08-30T00:00:00" u="1"/>
        <d v="2022-09-26T00:00:00" u="1"/>
        <d v="2024-08-30T00:00:00" u="1"/>
        <d v="2021-12-14T00:00:00" u="1"/>
        <d v="2022-12-14T00:00:00" u="1"/>
        <d v="2023-12-14T00:00:00" u="1"/>
        <d v="2022-09-28T00:00:00" u="1"/>
        <d v="2021-12-16T00:00:00" u="1"/>
        <d v="2023-11-20T00:00:00" u="1"/>
        <d v="2022-12-16T00:00:00" u="1"/>
        <d v="2022-09-30T00:00:00" u="1"/>
        <d v="2022-11-22T00:00:00" u="1"/>
        <d v="2023-11-22T00:00:00" u="1"/>
        <d v="2023-12-18T00:00:00" u="1"/>
        <d v="2022-11-24T00:00:00" u="1"/>
        <d v="2021-12-20T00:00:00" u="1"/>
        <d v="2023-11-24T00:00:00" u="1"/>
        <d v="2022-12-20T00:00:00" u="1"/>
        <d v="2023-12-20T00:00:00" u="1"/>
        <d v="2021-12-22T00:00:00" u="1"/>
        <d v="2022-12-22T00:00:00" u="1"/>
        <d v="2023-12-22T00:00:00" u="1"/>
        <d v="2022-01-03T00:00:00" u="1"/>
        <d v="2023-01-03T00:00:00" u="1"/>
        <d v="2024-01-03T00:00:00" u="1"/>
        <d v="2022-11-28T00:00:00" u="1"/>
        <d v="2023-11-28T00:00:00" u="1"/>
        <d v="2022-01-05T00:00:00" u="1"/>
        <d v="2023-01-05T00:00:00" u="1"/>
        <d v="2022-02-01T00:00:00" u="1"/>
        <d v="2024-01-05T00:00:00" u="1"/>
        <d v="2023-02-01T00:00:00" u="1"/>
        <d v="2024-02-01T00:00:00" u="1"/>
        <d v="2022-11-30T00:00:00" u="1"/>
        <d v="2023-11-30T00:00:00" u="1"/>
        <d v="2023-12-26T00:00:00" u="1"/>
        <d v="2022-01-07T00:00:00" u="1"/>
        <d v="2022-02-03T00:00:00" u="1"/>
        <d v="2023-02-03T00:00:00" u="1"/>
        <d v="2021-12-28T00:00:00" u="1"/>
        <d v="2022-12-28T00:00:00" u="1"/>
        <d v="2023-12-28T00:00:00" u="1"/>
        <d v="2023-01-09T00:00:00" u="1"/>
        <d v="2024-01-09T00:00:00" u="1"/>
        <d v="2024-02-05T00:00:00" u="1"/>
        <d v="2023-03-01T00:00:00" u="1"/>
        <d v="2024-03-01T00:00:00" u="1"/>
        <d v="2021-12-30T00:00:00" u="1"/>
        <d v="2022-12-30T00:00:00" u="1"/>
        <d v="2022-01-11T00:00:00" u="1"/>
        <d v="2023-01-11T00:00:00" u="1"/>
        <d v="2022-02-07T00:00:00" u="1"/>
        <d v="2024-01-11T00:00:00" u="1"/>
        <d v="2023-02-07T00:00:00" u="1"/>
        <d v="2022-03-03T00:00:00" u="1"/>
        <d v="2024-02-07T00:00:00" u="1"/>
        <d v="2023-03-03T00:00:00" u="1"/>
        <d v="2022-01-13T00:00:00" u="1"/>
        <d v="2023-01-13T00:00:00" u="1"/>
        <d v="2022-02-09T00:00:00" u="1"/>
        <d v="2023-02-09T00:00:00" u="1"/>
        <d v="2024-02-09T00:00:00" u="1"/>
        <d v="2024-03-05T00:00:00" u="1"/>
        <d v="2024-04-01T00:00:00" u="1"/>
        <d v="2022-02-11T00:00:00" u="1"/>
        <d v="2024-01-15T00:00:00" u="1"/>
        <d v="2022-03-07T00:00:00" u="1"/>
        <d v="2023-03-07T00:00:00" u="1"/>
        <d v="2024-03-07T00:00:00" u="1"/>
        <d v="2024-04-03T00:00:00" u="1"/>
        <d v="2022-01-17T00:00:00" u="1"/>
        <d v="2023-01-17T00:00:00" u="1"/>
        <d v="2023-02-13T00:00:00" u="1"/>
        <d v="2022-03-09T00:00:00" u="1"/>
        <d v="2023-03-09T00:00:00" u="1"/>
        <d v="2024-03-09T00:00:00" u="1"/>
        <d v="2024-04-05T00:00:00" u="1"/>
        <d v="2024-05-01T00:00:00" u="1"/>
        <d v="2022-01-19T00:00:00" u="1"/>
        <d v="2023-01-19T00:00:00" u="1"/>
        <d v="2022-02-15T00:00:00" u="1"/>
        <d v="2023-02-15T00:00:00" u="1"/>
        <d v="2022-03-11T00:00:00" u="1"/>
        <d v="2024-02-15T00:00:00" u="1"/>
        <d v="2024-03-11T00:00:00" u="1"/>
        <d v="2022-05-03T00:00:00" u="1"/>
        <d v="2023-05-03T00:00:00" u="1"/>
        <d v="2022-01-21T00:00:00" u="1"/>
        <d v="2022-02-17T00:00:00" u="1"/>
        <d v="2023-02-17T00:00:00" u="1"/>
        <d v="2023-03-13T00:00:00" u="1"/>
        <d v="2024-03-13T00:00:00" u="1"/>
        <d v="2022-05-05T00:00:00" u="1"/>
        <d v="2024-04-09T00:00:00" u="1"/>
        <d v="2023-05-05T00:00:00" u="1"/>
        <d v="2022-06-01T00:00:00" u="1"/>
        <d v="2023-01-23T00:00:00" u="1"/>
        <d v="2022-03-15T00:00:00" u="1"/>
        <d v="2024-02-19T00:00:00" u="1"/>
        <d v="2023-03-15T00:00:00" u="1"/>
        <d v="2024-03-15T00:00:00" u="1"/>
        <d v="2024-04-11T00:00:00" u="1"/>
        <d v="2022-06-03T00:00:00" u="1"/>
        <d v="2024-05-07T00:00:00" u="1"/>
        <d v="2024-06-03T00:00:00" u="1"/>
        <d v="2022-01-25T00:00:00" u="1"/>
        <d v="2023-01-25T00:00:00" u="1"/>
        <d v="2022-02-21T00:00:00" u="1"/>
        <d v="2022-03-17T00:00:00" u="1"/>
        <d v="2024-02-21T00:00:00" u="1"/>
        <d v="2023-03-17T00:00:00" u="1"/>
        <d v="2022-05-09T00:00:00" u="1"/>
        <d v="2023-05-09T00:00:00" u="1"/>
        <d v="2024-05-09T00:00:00" u="1"/>
        <d v="2022-07-01T00:00:00" u="1"/>
        <d v="2024-06-05T00:00:00" u="1"/>
        <d v="2024-07-01T00:00:00" u="1"/>
        <d v="2022-01-27T00:00:00" u="1"/>
        <d v="2023-01-27T00:00:00" u="1"/>
        <d v="2022-02-23T00:00:00" u="1"/>
        <d v="2023-02-23T00:00:00" u="1"/>
        <d v="2024-02-23T00:00:00" u="1"/>
        <d v="2024-03-19T00:00:00" u="1"/>
        <d v="2022-05-11T00:00:00" u="1"/>
        <d v="2024-04-15T00:00:00" u="1"/>
        <d v="2023-05-11T00:00:00" u="1"/>
        <d v="2022-06-07T00:00:00" u="1"/>
        <d v="2024-06-07T00:00:00" u="1"/>
        <d v="2023-07-03T00:00:00" u="1"/>
        <d v="2024-07-03T00:00:00" u="1"/>
        <d v="2022-02-25T00:00:00" u="1"/>
        <d v="2022-03-21T00:00:00" u="1"/>
        <d v="2023-03-21T00:00:00" u="1"/>
        <d v="2024-03-21T00:00:00" u="1"/>
        <d v="2022-05-13T00:00:00" u="1"/>
        <d v="2024-04-17T00:00:00" u="1"/>
        <d v="2022-06-09T00:00:00" u="1"/>
        <d v="2024-05-13T00:00:00" u="1"/>
        <d v="2022-07-05T00:00:00" u="1"/>
        <d v="2023-07-05T00:00:00" u="1"/>
        <d v="2022-08-01T00:00:00" u="1"/>
        <d v="2024-07-05T00:00:00" u="1"/>
        <d v="2024-08-01T00:00:00" u="1"/>
        <d v="2022-01-31T00:00:00" u="1"/>
        <d v="2023-01-31T00:00:00" u="1"/>
        <d v="2023-02-27T00:00:00" u="1"/>
        <d v="2022-03-23T00:00:00" u="1"/>
        <d v="2024-02-27T00:00:00" u="1"/>
        <d v="2023-03-23T00:00:00" u="1"/>
        <d v="2024-04-19T00:00:00" u="1"/>
        <d v="2023-05-15T00:00:00" u="1"/>
        <d v="2024-05-15T00:00:00" u="1"/>
        <d v="2022-07-07T00:00:00" u="1"/>
        <d v="2024-06-11T00:00:00" u="1"/>
        <d v="2021-08-03T00:00:00" u="1"/>
        <d v="2023-07-07T00:00:00" u="1"/>
        <d v="2022-08-03T00:00:00" u="1"/>
        <d v="2022-03-25T00:00:00" u="1"/>
        <d v="2024-02-29T00:00:00" u="1"/>
        <d v="2024-03-25T00:00:00" u="1"/>
        <d v="2022-05-17T00:00:00" u="1"/>
        <d v="2023-05-17T00:00:00" u="1"/>
        <d v="2022-06-13T00:00:00" u="1"/>
        <d v="2024-05-17T00:00:00" u="1"/>
        <d v="2024-06-13T00:00:00" u="1"/>
        <d v="2021-08-05T00:00:00" u="1"/>
        <d v="2022-08-05T00:00:00" u="1"/>
        <d v="2024-07-09T00:00:00" u="1"/>
        <d v="2022-09-01T00:00:00" u="1"/>
        <d v="2024-08-05T00:00:00" u="1"/>
        <d v="2023-03-27T00:00:00" u="1"/>
        <d v="2024-03-27T00:00:00" u="1"/>
        <d v="2022-05-19T00:00:00" u="1"/>
        <d v="2024-04-23T00:00:00" u="1"/>
        <d v="2023-05-19T00:00:00" u="1"/>
        <d v="2022-06-15T00:00:00" u="1"/>
        <d v="2022-07-11T00:00:00" u="1"/>
        <d v="2023-07-11T00:00:00" u="1"/>
        <d v="2024-07-11T00:00:00" u="1"/>
        <d v="2024-08-07T00:00:00" u="1"/>
        <d v="2022-03-29T00:00:00" u="1"/>
        <d v="2023-03-29T00:00:00" u="1"/>
        <d v="2024-04-25T00:00:00" u="1"/>
        <d v="2022-06-17T00:00:00" u="1"/>
        <d v="2024-05-21T00:00:00" u="1"/>
        <d v="2022-07-13T00:00:00" u="1"/>
        <d v="2024-06-17T00:00:00" u="1"/>
        <d v="2023-07-13T00:00:00" u="1"/>
        <d v="2022-08-09T00:00:00" u="1"/>
        <d v="2022-09-05T00:00:00" u="1"/>
        <d v="2021-10-01T00:00:00" u="1"/>
        <d v="2022-03-31T00:00:00" u="1"/>
        <d v="2023-03-31T00:00:00" u="1"/>
        <d v="2022-05-23T00:00:00" u="1"/>
        <d v="2023-05-23T00:00:00" u="1"/>
        <d v="2024-05-23T00:00:00" u="1"/>
        <d v="2022-07-15T00:00:00" u="1"/>
        <d v="2024-06-19T00:00:00" u="1"/>
        <d v="2021-08-11T00:00:00" u="1"/>
        <d v="2022-08-11T00:00:00" u="1"/>
        <d v="2024-07-15T00:00:00" u="1"/>
        <d v="2022-09-07T00:00:00" u="1"/>
        <d v="2022-05-25T00:00:00" u="1"/>
        <d v="2024-04-29T00:00:00" u="1"/>
        <d v="2023-05-25T00:00:00" u="1"/>
        <d v="2022-06-21T00:00:00" u="1"/>
        <d v="2024-06-21T00:00:00" u="1"/>
        <d v="2021-08-13T00:00:00" u="1"/>
        <d v="2023-07-17T00:00:00" u="1"/>
        <d v="2024-07-17T00:00:00" u="1"/>
        <d v="2022-09-09T00:00:00" u="1"/>
        <d v="2024-08-13T00:00:00" u="1"/>
        <d v="2021-10-05T00:00:00" u="1"/>
        <d v="2022-11-01T00:00:00" u="1"/>
        <d v="2023-11-01T00:00:00" u="1"/>
        <d v="2022-05-27T00:00:00" u="1"/>
        <d v="2022-06-23T00:00:00" u="1"/>
        <d v="2024-05-27T00:00:00" u="1"/>
        <d v="2022-07-19T00:00:00" u="1"/>
        <d v="2023-07-19T00:00:00" u="1"/>
        <d v="2022-08-15T00:00:00" u="1"/>
        <d v="2024-07-19T00:00:00" u="1"/>
        <d v="2024-08-15T00:00:00" u="1"/>
        <d v="2021-10-07T00:00:00" u="1"/>
        <d v="2023-05-29T00:00:00" u="1"/>
        <d v="2024-05-29T00:00:00" u="1"/>
        <d v="2022-07-21T00:00:00" u="1"/>
        <d v="2024-06-25T00:00:00" u="1"/>
        <d v="2021-08-17T00:00:00" u="1"/>
        <d v="2023-07-21T00:00:00" u="1"/>
        <d v="2022-08-17T00:00:00" u="1"/>
        <d v="2022-09-13T00:00:00" u="1"/>
        <d v="2021-11-05T00:00:00" u="1"/>
        <d v="2021-12-01T00:00:00" u="1"/>
        <d v="2022-12-01T00:00:00" u="1"/>
        <d v="2023-12-01T00:00:00" u="1"/>
        <d v="2022-05-31T00:00:00" u="1"/>
        <d v="2023-05-31T00:00:00" u="1"/>
        <d v="2022-06-27T00:00:00" u="1"/>
        <d v="2024-05-31T00:00:00" u="1"/>
        <d v="2024-06-27T00:00:00" u="1"/>
        <d v="2021-08-19T00:00:00" u="1"/>
        <d v="2022-08-19T00:00:00" u="1"/>
        <d v="2024-07-23T00:00:00" u="1"/>
        <d v="2022-09-15T00:00:00" u="1"/>
        <d v="2024-08-19T00:00:00" u="1"/>
        <d v="2022-11-07T00:00:00" u="1"/>
        <d v="2021-12-03T00:00:00" u="1"/>
        <d v="2023-11-07T00:00:00" u="1"/>
        <d v="2022-06-29T00:00:00" u="1"/>
        <d v="2022-07-25T00:00:00" u="1"/>
        <d v="2023-07-25T00:00:00" u="1"/>
        <d v="2024-07-25T00:00:00" u="1"/>
        <d v="2024-08-21T00:00:00" u="1"/>
        <d v="2021-10-13T00:00:00" u="1"/>
        <d v="2021-11-09T00:00:00" u="1"/>
        <d v="2022-11-09T00:00:00" u="1"/>
        <d v="2023-11-09T00:00:00" u="1"/>
        <d v="2022-12-05T00:00:00" u="1"/>
        <d v="2023-12-05T00:00:00" u="1"/>
        <d v="2022-07-27T00:00:00" u="1"/>
        <d v="2021-08-23T00:00:00" u="1"/>
        <d v="2023-07-27T00:00:00" u="1"/>
        <d v="2022-08-23T00:00:00" u="1"/>
        <d v="2022-09-19T00:00:00" u="1"/>
        <d v="2024-08-23T00:00:00" u="1"/>
        <d v="2021-10-15T00:00:00" u="1"/>
        <d v="2021-11-11T00:00:00" u="1"/>
        <d v="2022-11-11T00:00:00" u="1"/>
        <d v="2021-12-07T00:00:00" u="1"/>
        <d v="2022-12-07T00:00:00" u="1"/>
        <d v="2023-12-07T00:00:00" u="1"/>
        <d v="2022-07-29T00:00:00" u="1"/>
        <d v="2021-08-25T00:00:00" u="1"/>
        <d v="2022-08-25T00:00:00" u="1"/>
        <d v="2024-07-29T00:00:00" u="1"/>
        <d v="2022-09-21T00:00:00" u="1"/>
        <d v="2021-12-09T00:00:00" u="1"/>
        <d v="2023-11-13T00:00:00" u="1"/>
        <d v="2022-12-09T00:00:00" u="1"/>
        <d v="2021-08-27T00:00:00" u="1"/>
        <d v="2023-07-31T00:00:00" u="1"/>
        <d v="2024-07-31T00:00:00" u="1"/>
        <d v="2022-09-23T00:00:00" u="1"/>
        <d v="2024-08-27T00:00:00" u="1"/>
        <d v="2022-11-15T00:00:00" u="1"/>
        <d v="2023-11-15T00:00:00" u="1"/>
        <d v="2023-12-11T00:00:00" u="1"/>
        <d v="2022-08-29T00:00:00" u="1"/>
        <d v="2024-08-29T00:00:00" u="1"/>
        <d v="2022-11-17T00:00:00" u="1"/>
        <d v="2021-12-13T00:00:00" u="1"/>
        <d v="2023-11-17T00:00:00" u="1"/>
        <d v="2022-12-13T00:00:00" u="1"/>
        <d v="2023-12-13T00:00:00" u="1"/>
        <d v="2021-08-31T00:00:00" u="1"/>
        <d v="2022-08-31T00:00:00" u="1"/>
        <d v="2022-09-27T00:00:00" u="1"/>
        <d v="2021-12-15T00:00:00" u="1"/>
        <d v="2022-12-15T00:00:00" u="1"/>
        <d v="2023-12-15T00:00:00" u="1"/>
      </sharedItems>
    </cacheField>
    <cacheField name="Horas" numFmtId="0">
      <sharedItems containsSemiMixedTypes="0" containsString="0" containsNumber="1" minValue="0.5" maxValue="7.5"/>
    </cacheField>
    <cacheField name="Tipo Hora" numFmtId="0">
      <sharedItems containsBlank="1" count="3">
        <s v="HN"/>
        <m u="1"/>
        <s v="H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1"/>
    <s v="Célula de Atómicos Run"/>
    <s v="Atómicos Run - Daily meeting"/>
    <x v="0"/>
    <n v="0.5"/>
    <x v="0"/>
  </r>
  <r>
    <n v="2"/>
    <s v="Célula de Atómicos Run"/>
    <s v="Pruebas en Test de Hub de seguros"/>
    <x v="0"/>
    <n v="3"/>
    <x v="0"/>
  </r>
  <r>
    <n v="3"/>
    <s v="Célula de Atómicos Run"/>
    <s v="Ajusste de servicio para la aceptacion de ley de proteccion de datos"/>
    <x v="0"/>
    <n v="4.5"/>
    <x v="0"/>
  </r>
  <r>
    <n v="4"/>
    <s v="Célula de Atómicos Run"/>
    <s v="Atómicos Run - Daily meeting"/>
    <x v="1"/>
    <n v="0.5"/>
    <x v="0"/>
  </r>
  <r>
    <n v="5"/>
    <s v="Célula de Atómicos Run"/>
    <s v="Pruebas conjunto performance"/>
    <x v="1"/>
    <n v="7.5"/>
    <x v="0"/>
  </r>
  <r>
    <n v="6"/>
    <s v="Célula de Atómicos Run"/>
    <s v="Atómicos Run - Daily meeting"/>
    <x v="2"/>
    <n v="0.5"/>
    <x v="0"/>
  </r>
  <r>
    <n v="7"/>
    <s v="Célula de Atómicos Run"/>
    <s v="Pruebas de performance criptografy"/>
    <x v="2"/>
    <n v="3"/>
    <x v="0"/>
  </r>
  <r>
    <n v="8"/>
    <s v="Célula de Atómicos Run"/>
    <s v="pruebas performance de insurance management"/>
    <x v="2"/>
    <n v="2"/>
    <x v="0"/>
  </r>
  <r>
    <n v="9"/>
    <s v="Célula de Atómicos Run"/>
    <s v="Ajuste de credenciales kafka en test de micros"/>
    <x v="2"/>
    <n v="2.5"/>
    <x v="0"/>
  </r>
  <r>
    <n v="10"/>
    <s v="Célula de Atómicos Run"/>
    <s v="Atómicos Run - Daily meeting"/>
    <x v="3"/>
    <n v="0.5"/>
    <x v="0"/>
  </r>
  <r>
    <n v="11"/>
    <s v="Célula de Atómicos Run"/>
    <s v="Pruebas de performance con Banco"/>
    <x v="3"/>
    <n v="2"/>
    <x v="0"/>
  </r>
  <r>
    <n v="12"/>
    <s v="Célula de Atómicos Run"/>
    <s v="Pruebas de Hub de seguros backend"/>
    <x v="3"/>
    <n v="5.5"/>
    <x v="0"/>
  </r>
  <r>
    <n v="13"/>
    <s v="Célula de Atómicos Run"/>
    <s v="Atómicos Run - Daily meeting"/>
    <x v="4"/>
    <n v="0.5"/>
    <x v="0"/>
  </r>
  <r>
    <n v="14"/>
    <s v="Célula de Atómicos Run"/>
    <s v="Se relaizaron pruebas y gestión para la salida por el pod de los servicios de salegateway en TEST"/>
    <x v="4"/>
    <n v="7.5"/>
    <x v="0"/>
  </r>
  <r>
    <n v="15"/>
    <s v="Célula de Atómicos Run"/>
    <s v="Atómicos Run - Daily meeting"/>
    <x v="5"/>
    <n v="0.5"/>
    <x v="0"/>
  </r>
  <r>
    <n v="16"/>
    <s v="Célula de Atómicos Run"/>
    <s v="Pruebas en QA de servicios y gestion y ajuste de mock en servicio de Ley de protección de datos ya que el servicio de banco no esta aceptando el formato ipv6"/>
    <x v="5"/>
    <n v="7.5"/>
    <x v="0"/>
  </r>
  <r>
    <n v="17"/>
    <s v="Célula de Atómicos Run"/>
    <s v="Atómicos Run - Daily meeting"/>
    <x v="6"/>
    <n v="0.5"/>
    <x v="0"/>
  </r>
  <r>
    <n v="18"/>
    <s v="Célula de Atómicos Run"/>
    <s v="Refinamiento Atomicos y Ajuste de ley de protección de datos y validación de servicios en test, en conjunto con QA"/>
    <x v="6"/>
    <n v="7.5"/>
    <x v="0"/>
  </r>
  <r>
    <n v="19"/>
    <s v="Célula de Atómicos Run"/>
    <s v="Atómicos Run - Daily meeting"/>
    <x v="7"/>
    <n v="0.5"/>
    <x v="0"/>
  </r>
  <r>
    <n v="20"/>
    <s v="Célula de Atómicos Run"/>
    <s v="Pruebas de performance del orquestador"/>
    <x v="7"/>
    <n v="7.5"/>
    <x v="0"/>
  </r>
  <r>
    <n v="21"/>
    <s v="Célula de Atómicos Run"/>
    <s v="Retrospectiva - Atomicos"/>
    <x v="8"/>
    <n v="0.5"/>
    <x v="0"/>
  </r>
  <r>
    <n v="22"/>
    <s v="Célula de Atómicos Run"/>
    <s v="Revisión de seguridad para pruebas de los 4 microservicios desarrollados"/>
    <x v="8"/>
    <n v="6"/>
    <x v="0"/>
  </r>
  <r>
    <n v="23"/>
    <s v="Célula de Atómicos Run"/>
    <s v="Pruebas de performance del orquestador"/>
    <x v="8"/>
    <n v="1.5"/>
    <x v="0"/>
  </r>
  <r>
    <n v="24"/>
    <s v="Célula de Atómicos Run"/>
    <s v="Atómicos Run - Daily meeting"/>
    <x v="9"/>
    <n v="0.5"/>
    <x v="0"/>
  </r>
  <r>
    <n v="25"/>
    <s v="Célula de Atómicos Run"/>
    <s v="Ajuste de documentación open api en la plataforma de banco del orquestador acorde a los lineamientos BIAN"/>
    <x v="9"/>
    <n v="3.5"/>
    <x v="0"/>
  </r>
  <r>
    <n v="26"/>
    <s v="Célula de Atómicos Run"/>
    <s v="Validación de erro en el servicio de management"/>
    <x v="9"/>
    <n v="0.5"/>
    <x v="0"/>
  </r>
  <r>
    <n v="27"/>
    <s v="Célula de Atómicos Run"/>
    <s v="Pruebas en conjunto del flujo"/>
    <x v="9"/>
    <n v="3.5"/>
    <x v="0"/>
  </r>
  <r>
    <n v="28"/>
    <s v="Célula de Atómicos Run"/>
    <s v="Atómicos Run - Daily meeting"/>
    <x v="10"/>
    <n v="0.5"/>
    <x v="0"/>
  </r>
  <r>
    <n v="29"/>
    <s v="Célula de Atómicos Run"/>
    <s v="Ajuste de pod de servicio de orquestador para pruebas de performance"/>
    <x v="10"/>
    <n v="2"/>
    <x v="0"/>
  </r>
  <r>
    <n v="30"/>
    <s v="Célula de Atómicos Run"/>
    <s v="Cambio de nombre de repos y proyectos acorde a gobierno de arquitectura de Banco Pichincha"/>
    <x v="10"/>
    <n v="4"/>
    <x v="0"/>
  </r>
  <r>
    <n v="31"/>
    <s v="Célula de Atómicos Run"/>
    <s v="Validación de servicio de sesión"/>
    <x v="10"/>
    <n v="1.5"/>
    <x v="0"/>
  </r>
  <r>
    <n v="32"/>
    <s v="Célula de Atómicos Run"/>
    <s v="Atómicos Run - Daily meeting"/>
    <x v="11"/>
    <n v="0.5"/>
    <x v="0"/>
  </r>
  <r>
    <n v="33"/>
    <s v="Célula de Atómicos Run"/>
    <s v="Refinamiento Atomicos"/>
    <x v="11"/>
    <n v="1"/>
    <x v="0"/>
  </r>
  <r>
    <n v="34"/>
    <s v="Célula de Atómicos Run"/>
    <s v="Prework Q4"/>
    <x v="11"/>
    <n v="2"/>
    <x v="0"/>
  </r>
  <r>
    <n v="35"/>
    <s v="Célula de Atómicos Run"/>
    <s v="Pruebas de performance de servicio orquestador"/>
    <x v="11"/>
    <n v="4.5"/>
    <x v="0"/>
  </r>
  <r>
    <n v="36"/>
    <s v="Célula de Atómicos Run"/>
    <s v="Atómicos Run - Daily meeting"/>
    <x v="12"/>
    <n v="0.5"/>
    <x v="0"/>
  </r>
  <r>
    <n v="37"/>
    <s v="Célula de Atómicos Run"/>
    <s v="Prework Q4"/>
    <x v="12"/>
    <n v="1"/>
    <x v="0"/>
  </r>
  <r>
    <n v="38"/>
    <s v="Célula de Atómicos Run"/>
    <s v="Revisión de servicios de insurance management y prueba de los mismos con seguridad de banco"/>
    <x v="12"/>
    <n v="6.5"/>
    <x v="0"/>
  </r>
  <r>
    <n v="39"/>
    <s v="Célula de Atómicos Run"/>
    <s v="Atómicos Run - Daily meeting"/>
    <x v="13"/>
    <n v="0.5"/>
    <x v="0"/>
  </r>
  <r>
    <n v="40"/>
    <s v="Célula de Atómicos Run"/>
    <s v="Revisión de servicios de insurance management y prueba de los mismos con seguridad de banco"/>
    <x v="13"/>
    <n v="7.5"/>
    <x v="0"/>
  </r>
  <r>
    <n v="41"/>
    <s v="Célula de Atómicos Run"/>
    <s v="Atómicos Run - Daily meeting"/>
    <x v="14"/>
    <n v="0.5"/>
    <x v="0"/>
  </r>
  <r>
    <n v="42"/>
    <s v="Célula de Atómicos Run"/>
    <s v="Revisión de servicios de encriptación y prueba de los mismos con seguridad de banco"/>
    <x v="14"/>
    <n v="7.5"/>
    <x v="0"/>
  </r>
  <r>
    <n v="43"/>
    <s v="Célula de Atómicos Run"/>
    <s v="Atómicos Run - Daily meeting"/>
    <x v="15"/>
    <n v="0.5"/>
    <x v="0"/>
  </r>
  <r>
    <n v="44"/>
    <s v="Célula de Atómicos Run"/>
    <s v="Revisión de servicios de encriptación y prueba de los mismos con seguridad de banco"/>
    <x v="15"/>
    <n v="7.5"/>
    <x v="0"/>
  </r>
  <r>
    <n v="45"/>
    <s v="Célula de Atómicos Run"/>
    <s v="Atómicos Run - Daily meeting"/>
    <x v="16"/>
    <n v="0.5"/>
    <x v="0"/>
  </r>
  <r>
    <n v="46"/>
    <s v="Célula de Atómicos Run"/>
    <s v="Revisión de servicios de orquestador y prueba de los mismos con seguridad de banco"/>
    <x v="16"/>
    <n v="7.5"/>
    <x v="0"/>
  </r>
  <r>
    <n v="47"/>
    <s v="Célula de Atómicos Run"/>
    <s v="Atómicos Run - Daily meeting"/>
    <x v="17"/>
    <n v="0.5"/>
    <x v="0"/>
  </r>
  <r>
    <n v="48"/>
    <s v="Célula de Atómicos Run"/>
    <s v="Revisión de servicios de orquestador y prueba de los mismos con seguridad de banco"/>
    <x v="17"/>
    <n v="1"/>
    <x v="0"/>
  </r>
  <r>
    <n v="49"/>
    <s v="Célula de Atómicos Run"/>
    <s v="Ajuste de cabeceras que fueron validadas por seguridad de banco de los 3 microservicios"/>
    <x v="17"/>
    <n v="6.5"/>
    <x v="0"/>
  </r>
  <r>
    <n v="50"/>
    <s v="Célula de Atómicos Run"/>
    <s v="Atómicos Run - Daily meeting"/>
    <x v="18"/>
    <n v="0.5"/>
    <x v="0"/>
  </r>
  <r>
    <n v="51"/>
    <s v="Célula de Atómicos Run"/>
    <s v="Ajuste de excepciones de servicio insurance management"/>
    <x v="18"/>
    <n v="2.5"/>
    <x v="0"/>
  </r>
  <r>
    <n v="52"/>
    <s v="Célula de Atómicos Run"/>
    <s v="Ajuste de excepciones de servicio orquestador"/>
    <x v="18"/>
    <n v="5"/>
    <x v="0"/>
  </r>
  <r>
    <n v="53"/>
    <s v="Célula de Atómicos Run"/>
    <s v="Atómicos Run - Daily meeting"/>
    <x v="19"/>
    <n v="0.5"/>
    <x v="0"/>
  </r>
  <r>
    <n v="54"/>
    <s v="Célula de Atómicos Run"/>
    <s v="Prework Q4, Revisión HUB - Iphone y pruebas un iphone"/>
    <x v="19"/>
    <n v="7.5"/>
    <x v="0"/>
  </r>
  <r>
    <n v="55"/>
    <s v="Célula de Atómicos Run"/>
    <s v="Atómicos Run - Daily meeting"/>
    <x v="20"/>
    <n v="0.5"/>
    <x v="0"/>
  </r>
  <r>
    <n v="56"/>
    <s v="Célula de Atómicos Run"/>
    <s v="Revisión de servicio criptography para validar el funcionamiento y flujo del micro"/>
    <x v="20"/>
    <n v="7.5"/>
    <x v="0"/>
  </r>
  <r>
    <n v="57"/>
    <s v="Célula de Atómicos Run"/>
    <s v="Atómicos Run - Daily meeting"/>
    <x v="21"/>
    <n v="0.5"/>
    <x v="0"/>
  </r>
  <r>
    <n v="58"/>
    <s v="Célula de Atómicos Run"/>
    <s v="Revisión de servicio criptography para validar el funcionamiento y flujo del micro"/>
    <x v="21"/>
    <n v="7.5"/>
    <x v="0"/>
  </r>
  <r>
    <n v="59"/>
    <s v="Célula de Atómicos Run"/>
    <s v="Atómicos Run - Daily meeting"/>
    <x v="22"/>
    <n v="0.5"/>
    <x v="0"/>
  </r>
  <r>
    <n v="60"/>
    <s v="Célula de Atómicos Run"/>
    <s v="Prework Q4, Pruebas de seguridad de softoken en servicio de orquestador y pruebas de flujos "/>
    <x v="22"/>
    <n v="7.5"/>
    <x v="0"/>
  </r>
  <r>
    <n v="61"/>
    <s v="Célula de Atómicos Run"/>
    <s v="Atómicos Run - Daily meeting"/>
    <x v="23"/>
    <n v="0.5"/>
    <x v="0"/>
  </r>
  <r>
    <n v="62"/>
    <s v="Célula de Atómicos Run"/>
    <s v="Prework Q4, Solicitudes de generación de credenciales en key vault de banco para redis cache y kafka y revisión con seguridad servicios de softoken y process transaction en insurance management"/>
    <x v="23"/>
    <n v="7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1:B27" firstHeaderRow="1" firstDataRow="1" firstDataCol="1"/>
  <pivotFields count="6">
    <pivotField showAll="0"/>
    <pivotField showAll="0"/>
    <pivotField showAll="0"/>
    <pivotField axis="axisRow" showAll="0">
      <items count="779">
        <item m="1" x="339"/>
        <item m="1" x="631"/>
        <item m="1" x="352"/>
        <item m="1" x="642"/>
        <item m="1" x="361"/>
        <item m="1" x="385"/>
        <item m="1" x="675"/>
        <item m="1" x="393"/>
        <item m="1" x="684"/>
        <item m="1" x="413"/>
        <item m="1" x="705"/>
        <item m="1" x="424"/>
        <item m="1" x="718"/>
        <item m="1" x="434"/>
        <item m="1" x="738"/>
        <item m="1" x="456"/>
        <item m="1" x="750"/>
        <item m="1" x="463"/>
        <item m="1" x="757"/>
        <item m="1" x="476"/>
        <item m="1" x="772"/>
        <item m="1" x="667"/>
        <item m="1" x="398"/>
        <item m="1" x="689"/>
        <item m="1" x="407"/>
        <item m="1" x="700"/>
        <item m="1" x="418"/>
        <item m="1" x="709"/>
        <item m="1" x="439"/>
        <item m="1" x="732"/>
        <item m="1" x="450"/>
        <item m="1" x="744"/>
        <item m="1" x="460"/>
        <item m="1" x="429"/>
        <item m="1" x="724"/>
        <item m="1" x="746"/>
        <item m="1" x="461"/>
        <item m="1" x="754"/>
        <item m="1" x="428"/>
        <item m="1" x="731"/>
        <item m="1" x="449"/>
        <item m="1" x="743"/>
        <item m="1" x="710"/>
        <item m="1" x="768"/>
        <item m="1" x="480"/>
        <item m="1" x="775"/>
        <item m="1" x="469"/>
        <item m="1" x="484"/>
        <item m="1" x="207"/>
        <item m="1" x="492"/>
        <item m="1" x="214"/>
        <item m="1" x="496"/>
        <item m="1" x="219"/>
        <item m="1" x="232"/>
        <item m="1" x="516"/>
        <item m="1" x="237"/>
        <item m="1" x="524"/>
        <item m="1" x="499"/>
        <item m="1" x="222"/>
        <item m="1" x="504"/>
        <item m="1" x="227"/>
        <item m="1" x="513"/>
        <item m="1" x="240"/>
        <item m="1" x="526"/>
        <item m="1" x="247"/>
        <item m="1" x="534"/>
        <item m="1" x="255"/>
        <item m="1" x="547"/>
        <item m="1" x="267"/>
        <item m="1" x="555"/>
        <item m="1" x="277"/>
        <item m="1" x="564"/>
        <item m="1" x="294"/>
        <item m="1" x="582"/>
        <item m="1" x="304"/>
        <item m="1" x="594"/>
        <item m="1" x="317"/>
        <item m="1" x="620"/>
        <item m="1" x="506"/>
        <item m="1" x="229"/>
        <item m="1" x="514"/>
        <item m="1" x="235"/>
        <item m="1" x="528"/>
        <item m="1" x="249"/>
        <item m="1" x="536"/>
        <item m="1" x="256"/>
        <item m="1" x="541"/>
        <item m="1" x="269"/>
        <item m="1" x="557"/>
        <item m="1" x="279"/>
        <item m="1" x="565"/>
        <item m="1" x="286"/>
        <item m="1" x="584"/>
        <item m="1" x="306"/>
        <item m="1" x="596"/>
        <item m="1" x="318"/>
        <item m="1" x="607"/>
        <item m="1" x="244"/>
        <item m="1" x="531"/>
        <item m="1" x="252"/>
        <item m="1" x="543"/>
        <item m="1" x="263"/>
        <item m="1" x="550"/>
        <item m="1" x="271"/>
        <item m="1" x="559"/>
        <item m="1" x="287"/>
        <item m="1" x="574"/>
        <item m="1" x="296"/>
        <item m="1" x="585"/>
        <item m="1" x="308"/>
        <item m="1" x="608"/>
        <item m="1" x="330"/>
        <item m="1" x="623"/>
        <item m="1" x="344"/>
        <item m="1" x="634"/>
        <item m="1" x="366"/>
        <item m="1" x="657"/>
        <item m="1" x="378"/>
        <item m="1" x="668"/>
        <item m="1" x="562"/>
        <item m="1" x="283"/>
        <item m="1" x="569"/>
        <item m="1" x="290"/>
        <item m="1" x="588"/>
        <item m="1" x="311"/>
        <item m="1" x="600"/>
        <item m="1" x="322"/>
        <item m="1" x="611"/>
        <item m="1" x="347"/>
        <item m="1" x="637"/>
        <item m="1" x="356"/>
        <item m="1" x="649"/>
        <item m="1" x="369"/>
        <item m="1" x="670"/>
        <item m="1" x="389"/>
        <item m="1" x="679"/>
        <item m="1" x="399"/>
        <item m="1" x="692"/>
        <item m="1" x="419"/>
        <item m="1" x="713"/>
        <item m="1" x="572"/>
        <item m="1" x="292"/>
        <item m="1" x="579"/>
        <item m="1" x="313"/>
        <item m="1" x="603"/>
        <item m="1" x="325"/>
        <item m="1" x="613"/>
        <item m="1" x="335"/>
        <item m="1" x="639"/>
        <item m="1" x="359"/>
        <item m="1" x="652"/>
        <item m="1" x="371"/>
        <item m="1" x="660"/>
        <item m="1" x="391"/>
        <item m="1" x="682"/>
        <item m="1" x="402"/>
        <item m="1" x="693"/>
        <item m="1" x="409"/>
        <item m="1" x="715"/>
        <item m="1" x="432"/>
        <item m="1" x="726"/>
        <item m="1" x="443"/>
        <item m="1" x="591"/>
        <item m="1" x="326"/>
        <item m="1" x="615"/>
        <item m="1" x="337"/>
        <item m="1" x="629"/>
        <item m="1" x="350"/>
        <item m="1" x="653"/>
        <item m="1" x="373"/>
        <item m="1" x="662"/>
        <item m="1" x="383"/>
        <item m="1" x="673"/>
        <item m="1" x="403"/>
        <item m="1" x="695"/>
        <item m="1" x="411"/>
        <item m="1" x="703"/>
        <item m="1" x="422"/>
        <item m="1" x="727"/>
        <item m="1" x="444"/>
        <item m="1" x="737"/>
        <item m="1" x="455"/>
        <item m="1" x="749"/>
        <item m="1" x="617"/>
        <item m="1" x="341"/>
        <item m="1" x="633"/>
        <item m="1" x="353"/>
        <item m="1" x="643"/>
        <item m="1" x="375"/>
        <item m="1" x="665"/>
        <item m="1" x="387"/>
        <item m="1" x="676"/>
        <item m="1" x="394"/>
        <item m="1" x="697"/>
        <item m="1" x="415"/>
        <item m="1" x="707"/>
        <item m="1" x="425"/>
        <item m="1" x="719"/>
        <item m="1" x="446"/>
        <item m="1" x="740"/>
        <item m="1" x="458"/>
        <item m="1" x="751"/>
        <item m="1" x="464"/>
        <item m="1" x="765"/>
        <item m="1" x="477"/>
        <item m="1" x="773"/>
        <item m="1" x="645"/>
        <item m="1" x="364"/>
        <item m="1" x="666"/>
        <item m="1" x="388"/>
        <item m="1" x="678"/>
        <item m="1" x="396"/>
        <item m="1" x="687"/>
        <item m="1" x="416"/>
        <item m="1" x="708"/>
        <item m="1" x="427"/>
        <item m="1" x="721"/>
        <item m="1" x="437"/>
        <item m="1" x="741"/>
        <item m="1" x="459"/>
        <item m="1" x="753"/>
        <item m="1" x="466"/>
        <item m="1" x="760"/>
        <item m="1" x="478"/>
        <item m="1" x="774"/>
        <item m="1" x="483"/>
        <item m="1" x="205"/>
        <item m="1" x="487"/>
        <item m="1" x="690"/>
        <item m="1" x="408"/>
        <item m="1" x="723"/>
        <item m="1" x="440"/>
        <item m="1" x="733"/>
        <item m="1" x="451"/>
        <item m="1" x="745"/>
        <item m="1" x="468"/>
        <item m="1" x="762"/>
        <item m="1" x="472"/>
        <item m="1" x="767"/>
        <item m="1" x="206"/>
        <item m="1" x="488"/>
        <item m="1" x="209"/>
        <item m="1" x="491"/>
        <item m="1" x="213"/>
        <item m="1" x="502"/>
        <item m="1" x="225"/>
        <item m="1" x="510"/>
        <item m="1" x="711"/>
        <item m="1" x="431"/>
        <item m="1" x="735"/>
        <item m="1" x="453"/>
        <item m="1" x="747"/>
        <item m="1" x="462"/>
        <item m="1" x="756"/>
        <item m="1" x="474"/>
        <item m="1" x="770"/>
        <item m="1" x="481"/>
        <item m="1" x="776"/>
        <item m="1" x="486"/>
        <item m="1" x="211"/>
        <item m="1" x="494"/>
        <item m="1" x="216"/>
        <item m="1" x="497"/>
        <item m="1" x="221"/>
        <item m="1" x="233"/>
        <item m="1" x="517"/>
        <item m="1" x="238"/>
        <item m="1" x="525"/>
        <item m="1" x="500"/>
        <item m="1" x="223"/>
        <item m="1" x="505"/>
        <item m="1" x="228"/>
        <item m="1" x="519"/>
        <item m="1" x="241"/>
        <item m="1" x="527"/>
        <item m="1" x="248"/>
        <item m="1" x="535"/>
        <item m="1" x="261"/>
        <item m="1" x="548"/>
        <item m="1" x="268"/>
        <item m="1" x="556"/>
        <item m="1" x="278"/>
        <item m="1" x="573"/>
        <item m="1" x="295"/>
        <item m="1" x="583"/>
        <item m="1" x="305"/>
        <item m="1" x="595"/>
        <item m="1" x="329"/>
        <item m="1" x="621"/>
        <item m="1" x="508"/>
        <item m="1" x="230"/>
        <item m="1" x="515"/>
        <item m="1" x="243"/>
        <item m="1" x="530"/>
        <item m="1" x="251"/>
        <item m="1" x="537"/>
        <item m="1" x="257"/>
        <item m="1" x="549"/>
        <item m="1" x="270"/>
        <item m="1" x="558"/>
        <item m="1" x="280"/>
        <item m="1" x="566"/>
        <item m="1" x="307"/>
        <item m="1" x="597"/>
        <item m="1" x="319"/>
        <item m="1" x="622"/>
        <item m="1" x="343"/>
        <item m="1" x="522"/>
        <item m="1" x="246"/>
        <item m="1" x="533"/>
        <item m="1" x="258"/>
        <item m="1" x="544"/>
        <item m="1" x="264"/>
        <item m="1" x="551"/>
        <item m="1" x="273"/>
        <item m="1" x="567"/>
        <item m="1" x="288"/>
        <item m="1" x="576"/>
        <item m="1" x="298"/>
        <item m="1" x="587"/>
        <item m="1" x="320"/>
        <item m="1" x="609"/>
        <item m="1" x="332"/>
        <item m="1" x="625"/>
        <item m="1" x="346"/>
        <item m="1" x="647"/>
        <item m="1" x="367"/>
        <item m="1" x="658"/>
        <item m="1" x="379"/>
        <item m="1" x="669"/>
        <item m="1" x="275"/>
        <item m="1" x="563"/>
        <item m="1" x="285"/>
        <item m="1" x="571"/>
        <item m="1" x="301"/>
        <item m="1" x="589"/>
        <item m="1" x="312"/>
        <item m="1" x="602"/>
        <item m="1" x="324"/>
        <item m="1" x="627"/>
        <item m="1" x="348"/>
        <item m="1" x="638"/>
        <item m="1" x="358"/>
        <item m="1" x="651"/>
        <item m="1" x="381"/>
        <item m="1" x="671"/>
        <item m="1" x="390"/>
        <item m="1" x="681"/>
        <item m="1" x="701"/>
        <item m="1" x="420"/>
        <item m="1" x="714"/>
        <item m="1" x="401"/>
        <item m="1" x="605"/>
        <item m="1" x="327"/>
        <item m="1" x="616"/>
        <item m="1" x="340"/>
        <item m="1" x="632"/>
        <item m="1" x="362"/>
        <item m="1" x="654"/>
        <item m="1" x="374"/>
        <item m="1" x="664"/>
        <item m="1" x="386"/>
        <item m="1" x="685"/>
        <item m="1" x="404"/>
        <item m="1" x="696"/>
        <item m="1" x="414"/>
        <item m="1" x="706"/>
        <item m="1" x="435"/>
        <item m="1" x="728"/>
        <item m="1" x="445"/>
        <item m="1" x="739"/>
        <item m="1" x="457"/>
        <item m="1" x="758"/>
        <item m="1" x="691"/>
        <item m="1" x="430"/>
        <item m="1" x="725"/>
        <item m="1" x="441"/>
        <item m="1" x="734"/>
        <item m="1" x="452"/>
        <item m="1" x="755"/>
        <item m="1" x="470"/>
        <item m="1" x="763"/>
        <item m="1" x="473"/>
        <item m="1" x="769"/>
        <item m="1" x="485"/>
        <item m="1" x="208"/>
        <item m="1" x="489"/>
        <item m="1" x="210"/>
        <item m="1" x="493"/>
        <item m="1" x="215"/>
        <item m="1" x="220"/>
        <item m="1" x="503"/>
        <item m="1" x="226"/>
        <item m="1" x="511"/>
        <item m="1" x="712"/>
        <item m="1" x="442"/>
        <item m="1" x="736"/>
        <item m="1" x="454"/>
        <item m="1" x="748"/>
        <item m="1" x="764"/>
        <item m="1" x="475"/>
        <item m="1" x="771"/>
        <item m="1" x="482"/>
        <item m="1" x="777"/>
        <item m="1" x="490"/>
        <item m="1" x="212"/>
        <item m="1" x="495"/>
        <item m="1" x="217"/>
        <item m="1" x="498"/>
        <item m="1" x="512"/>
        <item m="1" x="234"/>
        <item m="1" x="518"/>
        <item m="1" x="239"/>
        <item m="1" x="218"/>
        <item m="1" x="501"/>
        <item m="1" x="224"/>
        <item m="1" x="507"/>
        <item m="1" x="236"/>
        <item m="1" x="520"/>
        <item m="1" x="242"/>
        <item m="1" x="529"/>
        <item m="1" x="250"/>
        <item m="1" x="542"/>
        <item m="1" x="262"/>
        <item m="1" x="509"/>
        <item m="1" x="231"/>
        <item m="1" x="521"/>
        <item m="1" x="245"/>
        <item m="1" x="532"/>
        <item m="1" x="253"/>
        <item m="1" x="538"/>
        <item m="1" x="272"/>
        <item m="1" x="560"/>
        <item m="1" x="281"/>
        <item m="1" x="575"/>
        <item m="1" x="297"/>
        <item m="1" x="586"/>
        <item m="1" x="309"/>
        <item m="1" x="598"/>
        <item m="1" x="331"/>
        <item m="1" x="624"/>
        <item m="1" x="345"/>
        <item m="1" x="635"/>
        <item m="1" x="523"/>
        <item m="1" x="254"/>
        <item m="1" x="539"/>
        <item m="1" x="259"/>
        <item m="1" x="545"/>
        <item m="1" x="265"/>
        <item m="1" x="552"/>
        <item m="1" x="274"/>
        <item m="1" x="561"/>
        <item m="1" x="282"/>
        <item m="1" x="568"/>
        <item m="1" x="289"/>
        <item m="1" x="577"/>
        <item m="1" x="299"/>
        <item m="1" x="310"/>
        <item m="1" x="599"/>
        <item m="1" x="321"/>
        <item m="1" x="610"/>
        <item m="1" x="333"/>
        <item m="1" x="636"/>
        <item m="1" x="355"/>
        <item m="1" x="648"/>
        <item m="1" x="368"/>
        <item m="1" x="540"/>
        <item m="1" x="260"/>
        <item m="1" x="546"/>
        <item m="1" x="266"/>
        <item m="1" x="553"/>
        <item m="1" x="284"/>
        <item m="1" x="570"/>
        <item m="1" x="291"/>
        <item m="1" x="578"/>
        <item m="1" x="300"/>
        <item m="1" x="601"/>
        <item m="1" x="323"/>
        <item m="1" x="612"/>
        <item m="1" x="334"/>
        <item m="1" x="626"/>
        <item m="1" x="357"/>
        <item m="1" x="650"/>
        <item m="1" x="370"/>
        <item m="1" x="659"/>
        <item m="1" x="380"/>
        <item m="1" x="680"/>
        <item m="1" x="400"/>
        <item m="1" x="554"/>
        <item m="1" x="276"/>
        <item m="1" x="293"/>
        <item m="1" x="580"/>
        <item m="1" x="302"/>
        <item m="1" x="590"/>
        <item m="1" x="314"/>
        <item m="1" x="614"/>
        <item m="1" x="336"/>
        <item m="1" x="628"/>
        <item m="1" x="349"/>
        <item m="1" x="640"/>
        <item m="1" x="372"/>
        <item m="1" x="661"/>
        <item m="1" x="382"/>
        <item m="1" x="672"/>
        <item m="1" x="694"/>
        <item m="1" x="410"/>
        <item m="1" x="702"/>
        <item m="1" x="421"/>
        <item m="1" x="716"/>
        <item m="1" x="581"/>
        <item m="1" x="303"/>
        <item m="1" x="592"/>
        <item m="1" x="315"/>
        <item m="1" x="604"/>
        <item m="1" x="338"/>
        <item m="1" x="630"/>
        <item m="1" x="351"/>
        <item m="1" x="641"/>
        <item m="1" x="360"/>
        <item m="1" x="663"/>
        <item m="1" x="384"/>
        <item m="1" x="674"/>
        <item m="1" x="392"/>
        <item m="1" x="683"/>
        <item m="1" x="412"/>
        <item m="1" x="704"/>
        <item m="1" x="423"/>
        <item m="1" x="717"/>
        <item m="1" x="433"/>
        <item m="1" x="593"/>
        <item m="1" x="316"/>
        <item m="1" x="606"/>
        <item m="1" x="328"/>
        <item m="1" x="618"/>
        <item m="1" x="354"/>
        <item m="1" x="644"/>
        <item m="1" x="363"/>
        <item m="1" x="655"/>
        <item m="1" x="376"/>
        <item m="1" x="677"/>
        <item m="1" x="395"/>
        <item m="1" x="686"/>
        <item m="1" x="405"/>
        <item m="1" x="698"/>
        <item m="1" x="426"/>
        <item m="1" x="720"/>
        <item m="1" x="436"/>
        <item m="1" x="729"/>
        <item m="1" x="447"/>
        <item m="1" x="752"/>
        <item m="1" x="465"/>
        <item m="1" x="759"/>
        <item m="1" x="619"/>
        <item m="1" x="342"/>
        <item m="1" x="646"/>
        <item m="1" x="365"/>
        <item m="1" x="656"/>
        <item m="1" x="377"/>
        <item m="1" x="397"/>
        <item m="1" x="688"/>
        <item m="1" x="406"/>
        <item m="1" x="699"/>
        <item m="1" x="417"/>
        <item m="1" x="722"/>
        <item m="1" x="438"/>
        <item m="1" x="730"/>
        <item m="1" x="448"/>
        <item m="1" x="742"/>
        <item m="1" x="467"/>
        <item m="1" x="761"/>
        <item m="1" x="471"/>
        <item m="1" x="766"/>
        <item m="1" x="479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4"/>
        <item m="1" x="162"/>
        <item m="1" x="163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06"/>
        <item m="1" x="107"/>
        <item m="1" x="108"/>
        <item m="1" x="99"/>
        <item m="1" x="100"/>
        <item m="1" x="101"/>
        <item m="1" x="102"/>
        <item m="1" x="103"/>
        <item m="1" x="104"/>
        <item m="1" x="10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45"/>
        <item m="1" x="46"/>
        <item m="1" x="47"/>
        <item m="1" x="48"/>
        <item m="1" x="49"/>
        <item m="1" x="44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24"/>
        <item m="1" x="25"/>
        <item m="1" x="26"/>
        <item m="1" x="27"/>
        <item m="1" x="2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axis="axisRow" showAll="0">
      <items count="4">
        <item x="0"/>
        <item m="1" x="1"/>
        <item m="1" x="2"/>
        <item t="default"/>
      </items>
    </pivotField>
  </pivotFields>
  <rowFields count="2">
    <field x="5"/>
    <field x="3"/>
  </rowFields>
  <rowItems count="26">
    <i>
      <x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t="grand">
      <x/>
    </i>
  </rowItems>
  <colItems count="1">
    <i/>
  </colItems>
  <dataFields count="1">
    <dataField name="Sum of Hor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74"/>
  <sheetViews>
    <sheetView tabSelected="1" zoomScale="85" zoomScaleNormal="85" workbookViewId="0">
      <pane xSplit="1" ySplit="8" topLeftCell="B9" activePane="bottomRight" state="frozen"/>
      <selection pane="topRight" activeCell="B1" sqref="B1"/>
      <selection pane="bottomLeft" activeCell="A4" sqref="A4"/>
      <selection pane="bottomRight" activeCell="A63" sqref="A63:XFD66"/>
    </sheetView>
  </sheetViews>
  <sheetFormatPr baseColWidth="10" defaultColWidth="9.109375" defaultRowHeight="14.4" x14ac:dyDescent="0.3"/>
  <cols>
    <col min="1" max="1" width="6.44140625" customWidth="1"/>
    <col min="2" max="2" width="24.109375" customWidth="1"/>
    <col min="3" max="3" width="75.109375" customWidth="1"/>
    <col min="4" max="4" width="18.44140625" customWidth="1"/>
    <col min="5" max="5" width="7" customWidth="1"/>
    <col min="6" max="6" width="5.44140625" customWidth="1"/>
    <col min="7" max="7" width="12.44140625" customWidth="1"/>
    <col min="9" max="9" width="14.44140625" customWidth="1"/>
    <col min="10" max="10" width="13" customWidth="1"/>
  </cols>
  <sheetData>
    <row r="1" spans="1:125" ht="42" customHeight="1" x14ac:dyDescent="0.3">
      <c r="A1" s="26" t="s">
        <v>0</v>
      </c>
      <c r="B1" s="26"/>
      <c r="C1" s="26"/>
      <c r="D1" s="26"/>
      <c r="E1" s="26"/>
      <c r="F1" s="26"/>
    </row>
    <row r="2" spans="1:125" ht="15" customHeight="1" x14ac:dyDescent="0.3">
      <c r="A2" s="24" t="s">
        <v>1</v>
      </c>
      <c r="B2" s="25"/>
      <c r="C2" s="27">
        <v>45930</v>
      </c>
      <c r="D2" s="28"/>
      <c r="E2" s="28"/>
      <c r="F2" s="28"/>
    </row>
    <row r="3" spans="1:125" x14ac:dyDescent="0.3">
      <c r="A3" s="24" t="s">
        <v>2</v>
      </c>
      <c r="B3" s="25"/>
      <c r="C3" s="29" t="s">
        <v>3</v>
      </c>
      <c r="D3" s="30"/>
      <c r="E3" s="30"/>
      <c r="F3" s="31"/>
    </row>
    <row r="4" spans="1:125" ht="15" customHeight="1" x14ac:dyDescent="0.3">
      <c r="A4" s="24" t="s">
        <v>4</v>
      </c>
      <c r="B4" s="25"/>
      <c r="C4" s="29" t="s">
        <v>39</v>
      </c>
      <c r="D4" s="30"/>
      <c r="E4" s="30"/>
      <c r="F4" s="31"/>
    </row>
    <row r="5" spans="1:125" ht="15" customHeight="1" x14ac:dyDescent="0.3">
      <c r="A5" s="32" t="s">
        <v>5</v>
      </c>
      <c r="B5" s="33"/>
      <c r="C5" s="23" t="s">
        <v>6</v>
      </c>
      <c r="D5" s="23"/>
      <c r="E5" s="23"/>
      <c r="F5" s="23"/>
    </row>
    <row r="6" spans="1:125" ht="15" customHeight="1" x14ac:dyDescent="0.3">
      <c r="A6" s="34" t="s">
        <v>7</v>
      </c>
      <c r="B6" s="35"/>
      <c r="C6" s="36" t="s">
        <v>25</v>
      </c>
      <c r="D6" s="37"/>
      <c r="E6" s="37"/>
      <c r="F6" s="38"/>
    </row>
    <row r="7" spans="1:125" ht="15" customHeight="1" x14ac:dyDescent="0.3">
      <c r="A7" s="39" t="s">
        <v>8</v>
      </c>
      <c r="B7" s="40"/>
      <c r="C7" s="40"/>
      <c r="D7" s="40"/>
      <c r="E7" s="40"/>
      <c r="F7" s="41"/>
    </row>
    <row r="8" spans="1:125" ht="28.8" x14ac:dyDescent="0.3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</row>
    <row r="9" spans="1:125" s="3" customFormat="1" x14ac:dyDescent="0.3">
      <c r="A9" s="2">
        <v>1</v>
      </c>
      <c r="B9" s="7" t="s">
        <v>15</v>
      </c>
      <c r="C9" s="12" t="s">
        <v>16</v>
      </c>
      <c r="D9" s="8">
        <v>45901</v>
      </c>
      <c r="E9" s="6">
        <v>0.5</v>
      </c>
      <c r="F9" s="6" t="s">
        <v>17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</row>
    <row r="10" spans="1:125" s="3" customFormat="1" x14ac:dyDescent="0.3">
      <c r="A10" s="2">
        <v>2</v>
      </c>
      <c r="B10" s="7" t="s">
        <v>15</v>
      </c>
      <c r="C10" s="12" t="s">
        <v>30</v>
      </c>
      <c r="D10" s="8">
        <v>45901</v>
      </c>
      <c r="E10" s="6">
        <v>3</v>
      </c>
      <c r="F10" s="6" t="s">
        <v>17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s="3" customFormat="1" x14ac:dyDescent="0.3">
      <c r="A11" s="2">
        <v>3</v>
      </c>
      <c r="B11" s="7" t="s">
        <v>15</v>
      </c>
      <c r="C11" s="12" t="s">
        <v>31</v>
      </c>
      <c r="D11" s="8">
        <v>45901</v>
      </c>
      <c r="E11" s="6">
        <v>4.5</v>
      </c>
      <c r="F11" s="6" t="s">
        <v>17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</row>
    <row r="12" spans="1:125" s="3" customFormat="1" x14ac:dyDescent="0.3">
      <c r="A12" s="2">
        <v>4</v>
      </c>
      <c r="B12" s="7" t="s">
        <v>15</v>
      </c>
      <c r="C12" s="12" t="s">
        <v>16</v>
      </c>
      <c r="D12" s="8">
        <v>45902</v>
      </c>
      <c r="E12" s="6">
        <v>0.5</v>
      </c>
      <c r="F12" s="6" t="s">
        <v>17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</row>
    <row r="13" spans="1:125" s="3" customFormat="1" x14ac:dyDescent="0.3">
      <c r="A13" s="2">
        <v>5</v>
      </c>
      <c r="B13" s="7" t="s">
        <v>15</v>
      </c>
      <c r="C13" s="12" t="s">
        <v>46</v>
      </c>
      <c r="D13" s="8">
        <v>45902</v>
      </c>
      <c r="E13" s="6">
        <v>7.5</v>
      </c>
      <c r="F13" s="6" t="s">
        <v>17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s="3" customFormat="1" x14ac:dyDescent="0.3">
      <c r="A14" s="2">
        <v>6</v>
      </c>
      <c r="B14" s="7" t="s">
        <v>15</v>
      </c>
      <c r="C14" s="12" t="s">
        <v>16</v>
      </c>
      <c r="D14" s="8">
        <v>45903</v>
      </c>
      <c r="E14" s="6">
        <v>0.5</v>
      </c>
      <c r="F14" s="6" t="s">
        <v>17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</row>
    <row r="15" spans="1:125" s="3" customFormat="1" x14ac:dyDescent="0.3">
      <c r="A15" s="2">
        <v>7</v>
      </c>
      <c r="B15" s="7" t="s">
        <v>15</v>
      </c>
      <c r="C15" s="12" t="s">
        <v>43</v>
      </c>
      <c r="D15" s="8">
        <v>45903</v>
      </c>
      <c r="E15" s="6">
        <v>3</v>
      </c>
      <c r="F15" s="6" t="s">
        <v>17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</row>
    <row r="16" spans="1:125" s="3" customFormat="1" x14ac:dyDescent="0.3">
      <c r="A16" s="2">
        <v>8</v>
      </c>
      <c r="B16" s="7" t="s">
        <v>15</v>
      </c>
      <c r="C16" s="12" t="s">
        <v>44</v>
      </c>
      <c r="D16" s="8">
        <v>45903</v>
      </c>
      <c r="E16" s="6">
        <v>2</v>
      </c>
      <c r="F16" s="6" t="s">
        <v>17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s="3" customFormat="1" x14ac:dyDescent="0.3">
      <c r="A17" s="2">
        <v>9</v>
      </c>
      <c r="B17" s="7" t="s">
        <v>15</v>
      </c>
      <c r="C17" s="12" t="s">
        <v>45</v>
      </c>
      <c r="D17" s="8">
        <v>45903</v>
      </c>
      <c r="E17" s="6">
        <v>2.5</v>
      </c>
      <c r="F17" s="6" t="s">
        <v>17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</row>
    <row r="18" spans="1:125" s="3" customFormat="1" x14ac:dyDescent="0.3">
      <c r="A18" s="2">
        <v>10</v>
      </c>
      <c r="B18" s="7" t="s">
        <v>15</v>
      </c>
      <c r="C18" s="12" t="s">
        <v>16</v>
      </c>
      <c r="D18" s="8">
        <v>45904</v>
      </c>
      <c r="E18" s="6">
        <v>0.5</v>
      </c>
      <c r="F18" s="6" t="s">
        <v>17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</row>
    <row r="19" spans="1:125" s="3" customFormat="1" x14ac:dyDescent="0.3">
      <c r="A19" s="2">
        <v>11</v>
      </c>
      <c r="B19" s="7" t="s">
        <v>15</v>
      </c>
      <c r="C19" s="12" t="s">
        <v>47</v>
      </c>
      <c r="D19" s="8">
        <v>45904</v>
      </c>
      <c r="E19" s="6">
        <v>2</v>
      </c>
      <c r="F19" s="6" t="s">
        <v>17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s="3" customFormat="1" x14ac:dyDescent="0.3">
      <c r="A20" s="2">
        <v>12</v>
      </c>
      <c r="B20" s="7" t="s">
        <v>15</v>
      </c>
      <c r="C20" s="12" t="s">
        <v>32</v>
      </c>
      <c r="D20" s="8">
        <v>45904</v>
      </c>
      <c r="E20" s="6">
        <v>5.5</v>
      </c>
      <c r="F20" s="6" t="s">
        <v>17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</row>
    <row r="21" spans="1:125" s="3" customFormat="1" x14ac:dyDescent="0.3">
      <c r="A21" s="2">
        <v>13</v>
      </c>
      <c r="B21" s="7" t="s">
        <v>15</v>
      </c>
      <c r="C21" s="12" t="s">
        <v>16</v>
      </c>
      <c r="D21" s="8">
        <v>45905</v>
      </c>
      <c r="E21" s="6">
        <v>0.5</v>
      </c>
      <c r="F21" s="6" t="s">
        <v>17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</row>
    <row r="22" spans="1:125" s="3" customFormat="1" ht="28.8" x14ac:dyDescent="0.3">
      <c r="A22" s="2">
        <v>14</v>
      </c>
      <c r="B22" s="7" t="s">
        <v>15</v>
      </c>
      <c r="C22" s="12" t="s">
        <v>33</v>
      </c>
      <c r="D22" s="8">
        <v>45905</v>
      </c>
      <c r="E22" s="6">
        <v>7.5</v>
      </c>
      <c r="F22" s="6" t="s">
        <v>17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</row>
    <row r="23" spans="1:125" s="3" customFormat="1" x14ac:dyDescent="0.3">
      <c r="A23" s="2">
        <v>15</v>
      </c>
      <c r="B23" s="7" t="s">
        <v>15</v>
      </c>
      <c r="C23" s="12" t="s">
        <v>16</v>
      </c>
      <c r="D23" s="8">
        <v>45908</v>
      </c>
      <c r="E23" s="6">
        <v>0.5</v>
      </c>
      <c r="F23" s="6" t="s">
        <v>17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</row>
    <row r="24" spans="1:125" s="3" customFormat="1" ht="28.8" x14ac:dyDescent="0.3">
      <c r="A24" s="2">
        <v>16</v>
      </c>
      <c r="B24" s="7" t="s">
        <v>15</v>
      </c>
      <c r="C24" s="12" t="s">
        <v>34</v>
      </c>
      <c r="D24" s="8">
        <v>45908</v>
      </c>
      <c r="E24" s="6">
        <v>7.5</v>
      </c>
      <c r="F24" s="6" t="s">
        <v>17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</row>
    <row r="25" spans="1:125" s="3" customFormat="1" x14ac:dyDescent="0.3">
      <c r="A25" s="2">
        <v>17</v>
      </c>
      <c r="B25" s="7" t="s">
        <v>15</v>
      </c>
      <c r="C25" s="12" t="s">
        <v>16</v>
      </c>
      <c r="D25" s="8">
        <v>45909</v>
      </c>
      <c r="E25" s="6">
        <v>0.5</v>
      </c>
      <c r="F25" s="6" t="s">
        <v>17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</row>
    <row r="26" spans="1:125" s="3" customFormat="1" ht="28.8" x14ac:dyDescent="0.3">
      <c r="A26" s="2">
        <v>18</v>
      </c>
      <c r="B26" s="7" t="s">
        <v>15</v>
      </c>
      <c r="C26" s="12" t="s">
        <v>40</v>
      </c>
      <c r="D26" s="8">
        <v>45909</v>
      </c>
      <c r="E26" s="6">
        <v>7.5</v>
      </c>
      <c r="F26" s="6" t="s">
        <v>17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</row>
    <row r="27" spans="1:125" s="3" customFormat="1" x14ac:dyDescent="0.3">
      <c r="A27" s="2">
        <v>19</v>
      </c>
      <c r="B27" s="7" t="s">
        <v>15</v>
      </c>
      <c r="C27" s="12" t="s">
        <v>16</v>
      </c>
      <c r="D27" s="8">
        <v>45910</v>
      </c>
      <c r="E27" s="6">
        <v>0.5</v>
      </c>
      <c r="F27" s="6" t="s">
        <v>17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</row>
    <row r="28" spans="1:125" s="3" customFormat="1" x14ac:dyDescent="0.3">
      <c r="A28" s="2">
        <v>20</v>
      </c>
      <c r="B28" s="7" t="s">
        <v>15</v>
      </c>
      <c r="C28" s="12" t="s">
        <v>48</v>
      </c>
      <c r="D28" s="8">
        <v>45910</v>
      </c>
      <c r="E28" s="6">
        <v>7.5</v>
      </c>
      <c r="F28" s="6" t="s">
        <v>17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</row>
    <row r="29" spans="1:125" s="3" customFormat="1" x14ac:dyDescent="0.3">
      <c r="A29" s="2">
        <v>21</v>
      </c>
      <c r="B29" s="7" t="s">
        <v>15</v>
      </c>
      <c r="C29" s="12" t="s">
        <v>28</v>
      </c>
      <c r="D29" s="8">
        <v>45911</v>
      </c>
      <c r="E29" s="6">
        <v>0.5</v>
      </c>
      <c r="F29" s="6" t="s">
        <v>17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</row>
    <row r="30" spans="1:125" s="3" customFormat="1" x14ac:dyDescent="0.3">
      <c r="A30" s="2">
        <v>22</v>
      </c>
      <c r="B30" s="7" t="s">
        <v>15</v>
      </c>
      <c r="C30" s="12" t="s">
        <v>49</v>
      </c>
      <c r="D30" s="8">
        <v>45911</v>
      </c>
      <c r="E30" s="6">
        <v>6</v>
      </c>
      <c r="F30" s="6" t="s">
        <v>17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</row>
    <row r="31" spans="1:125" s="3" customFormat="1" x14ac:dyDescent="0.3">
      <c r="A31" s="2">
        <v>23</v>
      </c>
      <c r="B31" s="7" t="s">
        <v>15</v>
      </c>
      <c r="C31" s="12" t="s">
        <v>48</v>
      </c>
      <c r="D31" s="8">
        <v>45911</v>
      </c>
      <c r="E31" s="6">
        <v>1.5</v>
      </c>
      <c r="F31" s="6" t="s">
        <v>17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</row>
    <row r="32" spans="1:125" s="3" customFormat="1" x14ac:dyDescent="0.3">
      <c r="A32" s="2">
        <v>24</v>
      </c>
      <c r="B32" s="7" t="s">
        <v>15</v>
      </c>
      <c r="C32" s="12" t="s">
        <v>16</v>
      </c>
      <c r="D32" s="8">
        <v>45912</v>
      </c>
      <c r="E32" s="6">
        <v>0.5</v>
      </c>
      <c r="F32" s="6" t="s">
        <v>17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</row>
    <row r="33" spans="1:125" s="3" customFormat="1" ht="28.8" x14ac:dyDescent="0.3">
      <c r="A33" s="2">
        <v>25</v>
      </c>
      <c r="B33" s="7" t="s">
        <v>15</v>
      </c>
      <c r="C33" s="12" t="s">
        <v>35</v>
      </c>
      <c r="D33" s="8">
        <v>45912</v>
      </c>
      <c r="E33" s="6">
        <v>3.5</v>
      </c>
      <c r="F33" s="6" t="s">
        <v>17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</row>
    <row r="34" spans="1:125" s="3" customFormat="1" x14ac:dyDescent="0.3">
      <c r="A34" s="2">
        <v>26</v>
      </c>
      <c r="B34" s="7" t="s">
        <v>15</v>
      </c>
      <c r="C34" s="12" t="s">
        <v>36</v>
      </c>
      <c r="D34" s="8">
        <v>45912</v>
      </c>
      <c r="E34" s="6">
        <v>0.5</v>
      </c>
      <c r="F34" s="6" t="s">
        <v>17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</row>
    <row r="35" spans="1:125" s="3" customFormat="1" x14ac:dyDescent="0.3">
      <c r="A35" s="2">
        <v>27</v>
      </c>
      <c r="B35" s="7" t="s">
        <v>15</v>
      </c>
      <c r="C35" s="12" t="s">
        <v>29</v>
      </c>
      <c r="D35" s="8">
        <v>45912</v>
      </c>
      <c r="E35" s="6">
        <v>3.5</v>
      </c>
      <c r="F35" s="6" t="s">
        <v>17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</row>
    <row r="36" spans="1:125" s="3" customFormat="1" x14ac:dyDescent="0.3">
      <c r="A36" s="2">
        <v>28</v>
      </c>
      <c r="B36" s="7" t="s">
        <v>15</v>
      </c>
      <c r="C36" s="12" t="s">
        <v>16</v>
      </c>
      <c r="D36" s="8">
        <v>45915</v>
      </c>
      <c r="E36" s="6">
        <v>0.5</v>
      </c>
      <c r="F36" s="6" t="s">
        <v>17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</row>
    <row r="37" spans="1:125" s="3" customFormat="1" x14ac:dyDescent="0.3">
      <c r="A37" s="2">
        <v>29</v>
      </c>
      <c r="B37" s="7" t="s">
        <v>15</v>
      </c>
      <c r="C37" s="12" t="s">
        <v>50</v>
      </c>
      <c r="D37" s="8">
        <v>45915</v>
      </c>
      <c r="E37" s="6">
        <v>2</v>
      </c>
      <c r="F37" s="6" t="s">
        <v>17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</row>
    <row r="38" spans="1:125" s="3" customFormat="1" ht="28.8" x14ac:dyDescent="0.3">
      <c r="A38" s="2">
        <v>30</v>
      </c>
      <c r="B38" s="7" t="s">
        <v>15</v>
      </c>
      <c r="C38" s="12" t="s">
        <v>37</v>
      </c>
      <c r="D38" s="8">
        <v>45915</v>
      </c>
      <c r="E38" s="6">
        <v>4</v>
      </c>
      <c r="F38" s="6" t="s">
        <v>17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</row>
    <row r="39" spans="1:125" s="3" customFormat="1" x14ac:dyDescent="0.3">
      <c r="A39" s="2">
        <v>31</v>
      </c>
      <c r="B39" s="7" t="s">
        <v>15</v>
      </c>
      <c r="C39" s="12" t="s">
        <v>38</v>
      </c>
      <c r="D39" s="8">
        <v>45915</v>
      </c>
      <c r="E39" s="6">
        <v>1.5</v>
      </c>
      <c r="F39" s="6" t="s">
        <v>17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</row>
    <row r="40" spans="1:125" s="3" customFormat="1" x14ac:dyDescent="0.3">
      <c r="A40" s="2">
        <v>32</v>
      </c>
      <c r="B40" s="7" t="s">
        <v>15</v>
      </c>
      <c r="C40" s="12" t="s">
        <v>16</v>
      </c>
      <c r="D40" s="8">
        <v>45916</v>
      </c>
      <c r="E40" s="6">
        <v>0.5</v>
      </c>
      <c r="F40" s="6" t="s">
        <v>17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</row>
    <row r="41" spans="1:125" s="3" customFormat="1" x14ac:dyDescent="0.3">
      <c r="A41" s="2">
        <v>33</v>
      </c>
      <c r="B41" s="7" t="s">
        <v>15</v>
      </c>
      <c r="C41" s="12" t="s">
        <v>27</v>
      </c>
      <c r="D41" s="8">
        <v>45916</v>
      </c>
      <c r="E41" s="6">
        <v>1</v>
      </c>
      <c r="F41" s="6" t="s">
        <v>17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</row>
    <row r="42" spans="1:125" s="3" customFormat="1" x14ac:dyDescent="0.3">
      <c r="A42" s="2">
        <v>34</v>
      </c>
      <c r="B42" s="7" t="s">
        <v>15</v>
      </c>
      <c r="C42" s="12" t="s">
        <v>41</v>
      </c>
      <c r="D42" s="8">
        <v>45916</v>
      </c>
      <c r="E42" s="6">
        <v>2</v>
      </c>
      <c r="F42" s="6" t="s">
        <v>17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</row>
    <row r="43" spans="1:125" s="3" customFormat="1" x14ac:dyDescent="0.3">
      <c r="A43" s="2">
        <v>35</v>
      </c>
      <c r="B43" s="7" t="s">
        <v>15</v>
      </c>
      <c r="C43" s="12" t="s">
        <v>51</v>
      </c>
      <c r="D43" s="8">
        <v>45916</v>
      </c>
      <c r="E43" s="6">
        <v>4.5</v>
      </c>
      <c r="F43" s="6" t="s">
        <v>17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</row>
    <row r="44" spans="1:125" s="3" customFormat="1" x14ac:dyDescent="0.3">
      <c r="A44" s="2">
        <v>36</v>
      </c>
      <c r="B44" s="7" t="s">
        <v>15</v>
      </c>
      <c r="C44" s="12" t="s">
        <v>16</v>
      </c>
      <c r="D44" s="8">
        <v>45917</v>
      </c>
      <c r="E44" s="6">
        <v>0.5</v>
      </c>
      <c r="F44" s="6" t="s">
        <v>17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</row>
    <row r="45" spans="1:125" s="3" customFormat="1" x14ac:dyDescent="0.3">
      <c r="A45" s="2">
        <v>37</v>
      </c>
      <c r="B45" s="7" t="s">
        <v>15</v>
      </c>
      <c r="C45" s="12" t="s">
        <v>41</v>
      </c>
      <c r="D45" s="8">
        <v>45917</v>
      </c>
      <c r="E45" s="6">
        <v>1</v>
      </c>
      <c r="F45" s="6" t="s">
        <v>17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</row>
    <row r="46" spans="1:125" s="3" customFormat="1" ht="28.8" x14ac:dyDescent="0.3">
      <c r="A46" s="2">
        <v>38</v>
      </c>
      <c r="B46" s="7" t="s">
        <v>15</v>
      </c>
      <c r="C46" s="12" t="s">
        <v>52</v>
      </c>
      <c r="D46" s="8">
        <v>45917</v>
      </c>
      <c r="E46" s="6">
        <v>6.5</v>
      </c>
      <c r="F46" s="6" t="s">
        <v>17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</row>
    <row r="47" spans="1:125" s="3" customFormat="1" x14ac:dyDescent="0.3">
      <c r="A47" s="2">
        <v>39</v>
      </c>
      <c r="B47" s="7" t="s">
        <v>15</v>
      </c>
      <c r="C47" s="12" t="s">
        <v>16</v>
      </c>
      <c r="D47" s="8">
        <v>45918</v>
      </c>
      <c r="E47" s="6">
        <v>0.5</v>
      </c>
      <c r="F47" s="6" t="s">
        <v>17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</row>
    <row r="48" spans="1:125" s="3" customFormat="1" ht="28.8" x14ac:dyDescent="0.3">
      <c r="A48" s="2">
        <v>40</v>
      </c>
      <c r="B48" s="7" t="s">
        <v>15</v>
      </c>
      <c r="C48" s="12" t="s">
        <v>52</v>
      </c>
      <c r="D48" s="8">
        <v>45918</v>
      </c>
      <c r="E48" s="6">
        <v>7.5</v>
      </c>
      <c r="F48" s="6" t="s">
        <v>17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</row>
    <row r="49" spans="1:125" s="3" customFormat="1" x14ac:dyDescent="0.3">
      <c r="A49" s="2">
        <v>41</v>
      </c>
      <c r="B49" s="7" t="s">
        <v>15</v>
      </c>
      <c r="C49" s="12" t="s">
        <v>16</v>
      </c>
      <c r="D49" s="8">
        <v>45919</v>
      </c>
      <c r="E49" s="6">
        <v>0.5</v>
      </c>
      <c r="F49" s="6" t="s">
        <v>17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</row>
    <row r="50" spans="1:125" s="3" customFormat="1" x14ac:dyDescent="0.3">
      <c r="A50" s="2">
        <v>42</v>
      </c>
      <c r="B50" s="7" t="s">
        <v>15</v>
      </c>
      <c r="C50" s="12" t="s">
        <v>53</v>
      </c>
      <c r="D50" s="8">
        <v>45919</v>
      </c>
      <c r="E50" s="6">
        <v>7.5</v>
      </c>
      <c r="F50" s="6" t="s">
        <v>17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</row>
    <row r="51" spans="1:125" s="3" customFormat="1" x14ac:dyDescent="0.3">
      <c r="A51" s="2">
        <v>43</v>
      </c>
      <c r="B51" s="7" t="s">
        <v>15</v>
      </c>
      <c r="C51" s="12" t="s">
        <v>16</v>
      </c>
      <c r="D51" s="8">
        <v>45922</v>
      </c>
      <c r="E51" s="6">
        <v>0.5</v>
      </c>
      <c r="F51" s="6" t="s">
        <v>17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</row>
    <row r="52" spans="1:125" s="3" customFormat="1" x14ac:dyDescent="0.3">
      <c r="A52" s="2">
        <v>44</v>
      </c>
      <c r="B52" s="7" t="s">
        <v>15</v>
      </c>
      <c r="C52" s="12" t="s">
        <v>53</v>
      </c>
      <c r="D52" s="8">
        <v>45922</v>
      </c>
      <c r="E52" s="6">
        <v>7.5</v>
      </c>
      <c r="F52" s="6" t="s">
        <v>17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</row>
    <row r="53" spans="1:125" s="3" customFormat="1" x14ac:dyDescent="0.3">
      <c r="A53" s="2">
        <v>45</v>
      </c>
      <c r="B53" s="7" t="s">
        <v>15</v>
      </c>
      <c r="C53" s="12" t="s">
        <v>16</v>
      </c>
      <c r="D53" s="8">
        <v>45923</v>
      </c>
      <c r="E53" s="6">
        <v>0.5</v>
      </c>
      <c r="F53" s="6" t="s">
        <v>17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</row>
    <row r="54" spans="1:125" s="3" customFormat="1" x14ac:dyDescent="0.3">
      <c r="A54" s="2">
        <v>46</v>
      </c>
      <c r="B54" s="7" t="s">
        <v>15</v>
      </c>
      <c r="C54" s="12" t="s">
        <v>54</v>
      </c>
      <c r="D54" s="8">
        <v>45923</v>
      </c>
      <c r="E54" s="6">
        <v>7.5</v>
      </c>
      <c r="F54" s="6" t="s">
        <v>17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</row>
    <row r="55" spans="1:125" s="3" customFormat="1" x14ac:dyDescent="0.3">
      <c r="A55" s="2">
        <v>47</v>
      </c>
      <c r="B55" s="7" t="s">
        <v>15</v>
      </c>
      <c r="C55" s="12" t="s">
        <v>16</v>
      </c>
      <c r="D55" s="8">
        <v>45924</v>
      </c>
      <c r="E55" s="6">
        <v>0.5</v>
      </c>
      <c r="F55" s="6" t="s">
        <v>17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</row>
    <row r="56" spans="1:125" s="3" customFormat="1" x14ac:dyDescent="0.3">
      <c r="A56" s="2">
        <v>48</v>
      </c>
      <c r="B56" s="7" t="s">
        <v>15</v>
      </c>
      <c r="C56" s="12" t="s">
        <v>54</v>
      </c>
      <c r="D56" s="8">
        <v>45924</v>
      </c>
      <c r="E56" s="6">
        <v>1</v>
      </c>
      <c r="F56" s="6" t="s">
        <v>17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</row>
    <row r="57" spans="1:125" s="3" customFormat="1" x14ac:dyDescent="0.3">
      <c r="A57" s="2">
        <v>49</v>
      </c>
      <c r="B57" s="7" t="s">
        <v>15</v>
      </c>
      <c r="C57" s="12" t="s">
        <v>55</v>
      </c>
      <c r="D57" s="8">
        <v>45924</v>
      </c>
      <c r="E57" s="6">
        <v>6.5</v>
      </c>
      <c r="F57" s="6" t="s">
        <v>17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</row>
    <row r="58" spans="1:125" s="3" customFormat="1" x14ac:dyDescent="0.3">
      <c r="A58" s="2">
        <v>50</v>
      </c>
      <c r="B58" s="7" t="s">
        <v>15</v>
      </c>
      <c r="C58" s="12" t="s">
        <v>16</v>
      </c>
      <c r="D58" s="8">
        <v>45925</v>
      </c>
      <c r="E58" s="6">
        <v>0.5</v>
      </c>
      <c r="F58" s="6" t="s">
        <v>17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</row>
    <row r="59" spans="1:125" s="3" customFormat="1" x14ac:dyDescent="0.3">
      <c r="A59" s="2">
        <v>51</v>
      </c>
      <c r="B59" s="7" t="s">
        <v>15</v>
      </c>
      <c r="C59" s="12" t="s">
        <v>56</v>
      </c>
      <c r="D59" s="8">
        <v>45925</v>
      </c>
      <c r="E59" s="6">
        <v>2.5</v>
      </c>
      <c r="F59" s="6" t="s">
        <v>17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</row>
    <row r="60" spans="1:125" s="3" customFormat="1" x14ac:dyDescent="0.3">
      <c r="A60" s="2">
        <v>52</v>
      </c>
      <c r="B60" s="7" t="s">
        <v>15</v>
      </c>
      <c r="C60" s="12" t="s">
        <v>57</v>
      </c>
      <c r="D60" s="8">
        <v>45925</v>
      </c>
      <c r="E60" s="6">
        <v>5</v>
      </c>
      <c r="F60" s="6" t="s">
        <v>17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</row>
    <row r="61" spans="1:125" s="3" customFormat="1" x14ac:dyDescent="0.3">
      <c r="A61" s="2">
        <v>53</v>
      </c>
      <c r="B61" s="7" t="s">
        <v>15</v>
      </c>
      <c r="C61" s="12" t="s">
        <v>16</v>
      </c>
      <c r="D61" s="8">
        <v>45926</v>
      </c>
      <c r="E61" s="6">
        <v>0.5</v>
      </c>
      <c r="F61" s="6" t="s">
        <v>17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</row>
    <row r="62" spans="1:125" s="3" customFormat="1" x14ac:dyDescent="0.3">
      <c r="A62" s="2">
        <v>54</v>
      </c>
      <c r="B62" s="7" t="s">
        <v>15</v>
      </c>
      <c r="C62" s="12" t="s">
        <v>42</v>
      </c>
      <c r="D62" s="8">
        <v>45926</v>
      </c>
      <c r="E62" s="6">
        <v>7.5</v>
      </c>
      <c r="F62" s="6" t="s">
        <v>17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</row>
    <row r="63" spans="1:125" s="3" customFormat="1" x14ac:dyDescent="0.3">
      <c r="A63" s="2">
        <v>59</v>
      </c>
      <c r="B63" s="7" t="s">
        <v>15</v>
      </c>
      <c r="C63" s="12" t="s">
        <v>16</v>
      </c>
      <c r="D63" s="8">
        <v>45929</v>
      </c>
      <c r="E63" s="6">
        <v>0.5</v>
      </c>
      <c r="F63" s="6" t="s">
        <v>17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</row>
    <row r="64" spans="1:125" s="3" customFormat="1" ht="28.8" x14ac:dyDescent="0.3">
      <c r="A64" s="2">
        <v>60</v>
      </c>
      <c r="B64" s="7" t="s">
        <v>15</v>
      </c>
      <c r="C64" s="12" t="s">
        <v>58</v>
      </c>
      <c r="D64" s="8">
        <v>45929</v>
      </c>
      <c r="E64" s="6">
        <v>7.5</v>
      </c>
      <c r="F64" s="6" t="s">
        <v>17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</row>
    <row r="65" spans="1:125" s="3" customFormat="1" x14ac:dyDescent="0.3">
      <c r="A65" s="2">
        <v>61</v>
      </c>
      <c r="B65" s="7" t="s">
        <v>15</v>
      </c>
      <c r="C65" s="12" t="s">
        <v>16</v>
      </c>
      <c r="D65" s="8">
        <v>45930</v>
      </c>
      <c r="E65" s="6">
        <v>0.5</v>
      </c>
      <c r="F65" s="6" t="s">
        <v>17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</row>
    <row r="66" spans="1:125" s="3" customFormat="1" ht="43.2" x14ac:dyDescent="0.3">
      <c r="A66" s="2">
        <v>62</v>
      </c>
      <c r="B66" s="7" t="s">
        <v>15</v>
      </c>
      <c r="C66" s="12" t="s">
        <v>59</v>
      </c>
      <c r="D66" s="8">
        <v>45930</v>
      </c>
      <c r="E66" s="6">
        <v>7.5</v>
      </c>
      <c r="F66" s="6" t="s">
        <v>17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</row>
    <row r="67" spans="1:125" s="3" customFormat="1" x14ac:dyDescent="0.3">
      <c r="E67" s="3">
        <f>SUM(E9:E66)</f>
        <v>176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</row>
    <row r="68" spans="1:125" x14ac:dyDescent="0.3">
      <c r="A68" s="13" t="s">
        <v>18</v>
      </c>
      <c r="B68" s="13"/>
      <c r="C68" s="5" t="s">
        <v>19</v>
      </c>
    </row>
    <row r="69" spans="1:125" x14ac:dyDescent="0.3">
      <c r="A69" s="14"/>
      <c r="B69" s="15"/>
      <c r="C69" s="20"/>
    </row>
    <row r="70" spans="1:125" x14ac:dyDescent="0.3">
      <c r="A70" s="16"/>
      <c r="B70" s="17"/>
      <c r="C70" s="21"/>
    </row>
    <row r="71" spans="1:125" x14ac:dyDescent="0.3">
      <c r="A71" s="16"/>
      <c r="B71" s="17"/>
      <c r="C71" s="21"/>
    </row>
    <row r="72" spans="1:125" x14ac:dyDescent="0.3">
      <c r="A72" s="18"/>
      <c r="B72" s="19"/>
      <c r="C72" s="22"/>
    </row>
    <row r="73" spans="1:125" x14ac:dyDescent="0.3">
      <c r="A73" s="23" t="str">
        <f>$C$6</f>
        <v>Alex Asitimbay</v>
      </c>
      <c r="B73" s="23"/>
      <c r="C73" s="4" t="s">
        <v>20</v>
      </c>
    </row>
    <row r="74" spans="1:125" x14ac:dyDescent="0.3">
      <c r="A74" s="23" t="s">
        <v>26</v>
      </c>
      <c r="B74" s="23"/>
      <c r="C74" s="4" t="s">
        <v>21</v>
      </c>
    </row>
  </sheetData>
  <mergeCells count="17">
    <mergeCell ref="A5:B5"/>
    <mergeCell ref="C5:F5"/>
    <mergeCell ref="A6:B6"/>
    <mergeCell ref="C6:F6"/>
    <mergeCell ref="A7:F7"/>
    <mergeCell ref="A4:B4"/>
    <mergeCell ref="A1:F1"/>
    <mergeCell ref="A2:B2"/>
    <mergeCell ref="C2:F2"/>
    <mergeCell ref="A3:B3"/>
    <mergeCell ref="C3:F3"/>
    <mergeCell ref="C4:F4"/>
    <mergeCell ref="A68:B68"/>
    <mergeCell ref="A69:B72"/>
    <mergeCell ref="C69:C72"/>
    <mergeCell ref="A73:B73"/>
    <mergeCell ref="A74:B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zoomScale="150" workbookViewId="0">
      <selection activeCell="A17" sqref="A17"/>
    </sheetView>
  </sheetViews>
  <sheetFormatPr baseColWidth="10" defaultColWidth="9.109375" defaultRowHeight="14.4" x14ac:dyDescent="0.3"/>
  <cols>
    <col min="1" max="1" width="15.77734375" bestFit="1" customWidth="1"/>
    <col min="2" max="3" width="11.44140625" bestFit="1" customWidth="1"/>
  </cols>
  <sheetData>
    <row r="1" spans="1:2" x14ac:dyDescent="0.3">
      <c r="A1" s="9" t="s">
        <v>22</v>
      </c>
      <c r="B1" t="s">
        <v>23</v>
      </c>
    </row>
    <row r="2" spans="1:2" x14ac:dyDescent="0.3">
      <c r="A2" s="10" t="s">
        <v>17</v>
      </c>
      <c r="B2">
        <v>192</v>
      </c>
    </row>
    <row r="3" spans="1:2" x14ac:dyDescent="0.3">
      <c r="A3" s="11">
        <v>45901</v>
      </c>
      <c r="B3">
        <v>8</v>
      </c>
    </row>
    <row r="4" spans="1:2" x14ac:dyDescent="0.3">
      <c r="A4" s="11">
        <v>45902</v>
      </c>
      <c r="B4">
        <v>8</v>
      </c>
    </row>
    <row r="5" spans="1:2" x14ac:dyDescent="0.3">
      <c r="A5" s="11">
        <v>45903</v>
      </c>
      <c r="B5">
        <v>8</v>
      </c>
    </row>
    <row r="6" spans="1:2" x14ac:dyDescent="0.3">
      <c r="A6" s="11">
        <v>45904</v>
      </c>
      <c r="B6">
        <v>8</v>
      </c>
    </row>
    <row r="7" spans="1:2" x14ac:dyDescent="0.3">
      <c r="A7" s="11">
        <v>45905</v>
      </c>
      <c r="B7">
        <v>8</v>
      </c>
    </row>
    <row r="8" spans="1:2" x14ac:dyDescent="0.3">
      <c r="A8" s="11">
        <v>45908</v>
      </c>
      <c r="B8">
        <v>8</v>
      </c>
    </row>
    <row r="9" spans="1:2" x14ac:dyDescent="0.3">
      <c r="A9" s="11">
        <v>45909</v>
      </c>
      <c r="B9">
        <v>8</v>
      </c>
    </row>
    <row r="10" spans="1:2" x14ac:dyDescent="0.3">
      <c r="A10" s="11">
        <v>45910</v>
      </c>
      <c r="B10">
        <v>8</v>
      </c>
    </row>
    <row r="11" spans="1:2" x14ac:dyDescent="0.3">
      <c r="A11" s="11">
        <v>45911</v>
      </c>
      <c r="B11">
        <v>8</v>
      </c>
    </row>
    <row r="12" spans="1:2" x14ac:dyDescent="0.3">
      <c r="A12" s="11">
        <v>45912</v>
      </c>
      <c r="B12">
        <v>8</v>
      </c>
    </row>
    <row r="13" spans="1:2" x14ac:dyDescent="0.3">
      <c r="A13" s="11">
        <v>45915</v>
      </c>
      <c r="B13">
        <v>8</v>
      </c>
    </row>
    <row r="14" spans="1:2" x14ac:dyDescent="0.3">
      <c r="A14" s="11">
        <v>45916</v>
      </c>
      <c r="B14">
        <v>8</v>
      </c>
    </row>
    <row r="15" spans="1:2" x14ac:dyDescent="0.3">
      <c r="A15" s="11">
        <v>45917</v>
      </c>
      <c r="B15">
        <v>8</v>
      </c>
    </row>
    <row r="16" spans="1:2" x14ac:dyDescent="0.3">
      <c r="A16" s="11">
        <v>45918</v>
      </c>
      <c r="B16">
        <v>8</v>
      </c>
    </row>
    <row r="17" spans="1:2" x14ac:dyDescent="0.3">
      <c r="A17" s="11">
        <v>45919</v>
      </c>
      <c r="B17">
        <v>8</v>
      </c>
    </row>
    <row r="18" spans="1:2" x14ac:dyDescent="0.3">
      <c r="A18" s="11">
        <v>45922</v>
      </c>
      <c r="B18">
        <v>8</v>
      </c>
    </row>
    <row r="19" spans="1:2" x14ac:dyDescent="0.3">
      <c r="A19" s="11">
        <v>45923</v>
      </c>
      <c r="B19">
        <v>8</v>
      </c>
    </row>
    <row r="20" spans="1:2" x14ac:dyDescent="0.3">
      <c r="A20" s="11">
        <v>45924</v>
      </c>
      <c r="B20">
        <v>8</v>
      </c>
    </row>
    <row r="21" spans="1:2" x14ac:dyDescent="0.3">
      <c r="A21" s="11">
        <v>45925</v>
      </c>
      <c r="B21">
        <v>8</v>
      </c>
    </row>
    <row r="22" spans="1:2" x14ac:dyDescent="0.3">
      <c r="A22" s="11">
        <v>45926</v>
      </c>
      <c r="B22">
        <v>8</v>
      </c>
    </row>
    <row r="23" spans="1:2" x14ac:dyDescent="0.3">
      <c r="A23" s="11">
        <v>45927</v>
      </c>
      <c r="B23">
        <v>8</v>
      </c>
    </row>
    <row r="24" spans="1:2" x14ac:dyDescent="0.3">
      <c r="A24" s="11">
        <v>45928</v>
      </c>
      <c r="B24">
        <v>8</v>
      </c>
    </row>
    <row r="25" spans="1:2" x14ac:dyDescent="0.3">
      <c r="A25" s="11">
        <v>45929</v>
      </c>
      <c r="B25">
        <v>8</v>
      </c>
    </row>
    <row r="26" spans="1:2" x14ac:dyDescent="0.3">
      <c r="A26" s="11">
        <v>45930</v>
      </c>
      <c r="B26">
        <v>8</v>
      </c>
    </row>
    <row r="27" spans="1:2" x14ac:dyDescent="0.3">
      <c r="A27" s="10" t="s">
        <v>24</v>
      </c>
      <c r="B27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235B668EC5EC438B3606758EABB404" ma:contentTypeVersion="2" ma:contentTypeDescription="Crear nuevo documento." ma:contentTypeScope="" ma:versionID="3d342e9da40ea29d7cdbedf2e94189bf">
  <xsd:schema xmlns:xsd="http://www.w3.org/2001/XMLSchema" xmlns:xs="http://www.w3.org/2001/XMLSchema" xmlns:p="http://schemas.microsoft.com/office/2006/metadata/properties" xmlns:ns2="3cce8931-1ee1-4db2-a960-d3d6d77929c8" targetNamespace="http://schemas.microsoft.com/office/2006/metadata/properties" ma:root="true" ma:fieldsID="871a7c447be8d0729833dfe179fcad91" ns2:_="">
    <xsd:import namespace="3cce8931-1ee1-4db2-a960-d3d6d77929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8931-1ee1-4db2-a960-d3d6d7792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A560C-45BA-4618-ADD8-D6C3E27A5A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1B4CD14-7172-4D8A-A9CD-2AB818B18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8931-1ee1-4db2-a960-d3d6d77929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DFC4B2-B3E4-4629-8A74-496E844950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Revelo Echeverría Francisco Ramón</dc:creator>
  <cp:keywords/>
  <dc:description/>
  <cp:lastModifiedBy>Diego Val</cp:lastModifiedBy>
  <cp:revision/>
  <dcterms:created xsi:type="dcterms:W3CDTF">2018-01-03T15:17:31Z</dcterms:created>
  <dcterms:modified xsi:type="dcterms:W3CDTF">2025-10-13T22:11:23Z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0x010100F4235B668EC5EC438B3606758EABB404</vt:lpwstr>
  </property>
  <property fmtid="{D5CDD505-2E9C-101B-9397-08002B2CF9AE}" pid="3" name="_dlc_DocIdItemGuid">
    <vt:lpwstr>1319af11-d6f8-4642-8278-edd44724049d</vt:lpwstr>
  </property>
  <property fmtid="{D5CDD505-2E9C-101B-9397-08002B2CF9AE}" pid="4" name="AuthorIds_UIVersion_512">
    <vt:lpwstr>33</vt:lpwstr>
  </property>
  <property fmtid="{D5CDD505-2E9C-101B-9397-08002B2CF9AE}" pid="5" name="AuthorIds_UIVersion_1536">
    <vt:lpwstr>31</vt:lpwstr>
  </property>
</Properties>
</file>